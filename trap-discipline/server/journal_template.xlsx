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Start Here" sheetId="1" state="visible" r:id="rId3"/>
    <x:sheet name="Dashboard" sheetId="2" state="visible" r:id="rId4"/>
    <x:sheet name="Trade Log" sheetId="3" state="visible" r:id="rId5"/>
    <x:sheet name="Diagnostics" sheetId="4" state="visible" r:id="rId6"/>
    <x:sheet name="Playbook" sheetId="5" state="visible" r:id="rId7"/>
    <x:sheet name="Calc" sheetId="6" state="hidden" r:id="rId8"/>
  </x:sheet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<x:sst xmlns:x="http://schemas.openxmlformats.org/spreadsheetml/2006/main" count="208" uniqueCount="171">
  <x:si>
    <x:t xml:space="preserve">TRAP JOURNAL</x:t>
  </x:si>
  <x:si>
    <x:t xml:space="preserve">THE DEAL</x:t>
  </x:si>
  <x:si>
    <x:t xml:space="preserve">Seventeen cells per trade you take. Five per trade you skip. Under 90 seconds either way.</x:t>
  </x:si>
  <x:si>
    <x:t xml:space="preserve">If it ever takes longer than that, something is wrong with the sheet, not with you. Tell me and I will cut it.</x:t>
  </x:si>
  <x:si>
    <x:t xml:space="preserve">SET UP ONCE</x:t>
  </x:si>
  <x:si>
    <x:t xml:space="preserve">Dashboard cell B4: your real starting equity.</x:t>
  </x:si>
  <x:si>
    <x:t xml:space="preserve">Dashboard cell D5: your fee rate per side. 0.020 maker, 0.055 taker. Fees are applied automatically.</x:t>
  </x:si>
  <x:si>
    <x:t xml:space="preserve">Trade Log row 4: clear the example row.</x:t>
  </x:si>
  <x:si>
    <x:t xml:space="preserve">Playbook: edit the four setups in your own words until you would actually obey them.</x:t>
  </x:si>
  <x:si>
    <x:t xml:space="preserve">THE THREE ORANGE COLUMNS</x:t>
  </x:si>
  <x:si>
    <x:t xml:space="preserve">Pen. ATR, Candles to reclaim, and OI confirmed are the only fields that are not standard.</x:t>
  </x:si>
  <x:si>
    <x:t xml:space="preserve">They exist because every threshold in your checklist is currently a guess, not your finding.</x:t>
  </x:si>
  <x:si>
    <x:t xml:space="preserve">Thirty trades with those three filled in is what turns the guesses into calibrated rules.</x:t>
  </x:si>
  <x:si>
    <x:t xml:space="preserve">If you fill in nothing else, fill in those.</x:t>
  </x:si>
  <x:si>
    <x:t xml:space="preserve">LEVERAGE</x:t>
  </x:si>
  <x:si>
    <x:t xml:space="preserve">Leverage never changes your R multiple. Risk is stop distance times quantity, at 1x or at 50x.</x:t>
  </x:si>
  <x:si>
    <x:t xml:space="preserve">What it changes is where liquidation sits. The Liq buffer column shows how many stop widths away it is.</x:t>
  </x:si>
  <x:si>
    <x:t xml:space="preserve">Under 3x turns red. Under 1x means you get liquidated before your stop ever fires.</x:t>
  </x:si>
  <x:si>
    <x:t xml:space="preserve">Required leverage is roughly risk percent divided by stop percent. At 1% risk on a 1% stop, that is about 1x.</x:t>
  </x:si>
  <x:si>
    <x:t xml:space="preserve">SKIPPED TRADES</x:t>
  </x:si>
  <x:si>
    <x:t xml:space="preserve">Set Taken? to No and fill only date, symbol, setup, grade and the reason.</x:t>
  </x:si>
  <x:si>
    <x:t xml:space="preserve">Skipped trades are excluded from every statistic automatically. They cost you fifteen seconds.</x:t>
  </x:si>
  <x:si>
    <x:t xml:space="preserve">In month one this tells you whether your problem is finding setups or pulling the trigger.</x:t>
  </x:si>
  <x:si>
    <x:t xml:space="preserve">THE ONE RULE</x:t>
  </x:si>
  <x:si>
    <x:t xml:space="preserve">Log within ten minutes of the close, win or lose. Emotion fades within the hour and takes the data with it.</x:t>
  </x:si>
  <x:si>
    <x:t xml:space="preserve">A losing trade with perfect execution is a good trade. Grade the process.</x:t>
  </x:si>
  <x:si>
    <x:t xml:space="preserve">DASHBOARD</x:t>
  </x:si>
  <x:si>
    <x:t xml:space="preserve">Starting equity</x:t>
  </x:si>
  <x:si>
    <x:t xml:space="preserve">Fee rate % per side</x:t>
  </x:si>
  <x:si>
    <x:t xml:space="preserve">-&gt;</x:t>
  </x:si>
  <x:si>
    <x:t xml:space="preserve">applied automatically to both sides</x:t>
  </x:si>
  <x:si>
    <x:t xml:space="preserve">maker 0.020  /  taker 0.055</x:t>
  </x:si>
  <x:si>
    <x:t xml:space="preserve">EXPECTANCY</x:t>
  </x:si>
  <x:si>
    <x:t xml:space="preserve">NET P&amp;L</x:t>
  </x:si>
  <x:si>
    <x:t xml:space="preserve">WIN RATE</x:t>
  </x:si>
  <x:si>
    <x:t xml:space="preserve">PROFIT FACTOR</x:t>
  </x:si>
  <x:si>
    <x:t xml:space="preserve">RULE ADHERENCE</x:t>
  </x:si>
  <x:si>
    <x:t xml:space="preserve">TRADES TAKEN</x:t>
  </x:si>
  <x:si>
    <x:t xml:space="preserve">SKIPPED</x:t>
  </x:si>
  <x:si>
    <x:t xml:space="preserve">AVG LEVERAGE</x:t>
  </x:si>
  <x:si>
    <x:t xml:space="preserve">LIQ BUFFER &lt; 3x</x:t>
  </x:si>
  <x:si>
    <x:t xml:space="preserve">TO 30 TRADES</x:t>
  </x:si>
  <x:si>
    <x:t xml:space="preserve">Until 30 trades are logged, every number above is noise. Fill the log, do not act on it yet.</x:t>
  </x:si>
  <x:si>
    <x:t xml:space="preserve">TRADE LOG   -   one row per opportunity, taken or not</x:t>
  </x:si>
  <x:si>
    <x:t xml:space="preserve">ALWAYS FILL</x:t>
  </x:si>
  <x:si>
    <x:t xml:space="preserve">IF TAKEN</x:t>
  </x:si>
  <x:si>
    <x:t xml:space="preserve">CALIBRATION  (30 sec, this is what tunes your rules)</x:t>
  </x:si>
  <x:si>
    <x:t xml:space="preserve">AUTO</x:t>
  </x:si>
  <x:si>
    <x:t xml:space="preserve">Date</x:t>
  </x:si>
  <x:si>
    <x:t xml:space="preserve">Time UTC</x:t>
  </x:si>
  <x:si>
    <x:t xml:space="preserve">Symbol</x:t>
  </x:si>
  <x:si>
    <x:t xml:space="preserve">Setup</x:t>
  </x:si>
  <x:si>
    <x:t xml:space="preserve">Grade</x:t>
  </x:si>
  <x:si>
    <x:t xml:space="preserve">Dir</x:t>
  </x:si>
  <x:si>
    <x:t xml:space="preserve">Taken?</x:t>
  </x:si>
  <x:si>
    <x:t xml:space="preserve">Entry</x:t>
  </x:si>
  <x:si>
    <x:t xml:space="preserve">Stop</x:t>
  </x:si>
  <x:si>
    <x:t xml:space="preserve">Exit</x:t>
  </x:si>
  <x:si>
    <x:t xml:space="preserve">Qty</x:t>
  </x:si>
  <x:si>
    <x:t xml:space="preserve">Leverage</x:t>
  </x:si>
  <x:si>
    <x:t xml:space="preserve">Followed plan?</x:t>
  </x:si>
  <x:si>
    <x:t xml:space="preserve">Pen. ATR</x:t>
  </x:si>
  <x:si>
    <x:t xml:space="preserve">Candles to reclaim</x:t>
  </x:si>
  <x:si>
    <x:t xml:space="preserve">OI confirmed?</x:t>
  </x:si>
  <x:si>
    <x:t xml:space="preserve">Note / why skipped</x:t>
  </x:si>
  <x:si>
    <x:t xml:space="preserve">Risk $</x:t>
  </x:si>
  <x:si>
    <x:t xml:space="preserve">Net P&amp;L</x:t>
  </x:si>
  <x:si>
    <x:t xml:space="preserve">R</x:t>
  </x:si>
  <x:si>
    <x:t xml:space="preserve">Liq buffer</x:t>
  </x:si>
  <x:si>
    <x:t xml:space="preserve">14:15</x:t>
  </x:si>
  <x:si>
    <x:t xml:space="preserve">BTCUSDT</x:t>
  </x:si>
  <x:si>
    <x:t xml:space="preserve">Spring</x:t>
  </x:si>
  <x:si>
    <x:t xml:space="preserve">A</x:t>
  </x:si>
  <x:si>
    <x:t xml:space="preserve">Long</x:t>
  </x:si>
  <x:si>
    <x:t xml:space="preserve">Yes</x:t>
  </x:si>
  <x:si>
    <x:t xml:space="preserve">EXAMPLE ROW - clear it. Reclaimed 4h swing low, OI dropped 1.8% on the reclaim.</x:t>
  </x:si>
  <x:si>
    <x:t xml:space="preserve">DIAGNOSTICS   -   the questions your log exists to answer</x:t>
  </x:si>
  <x:si>
    <x:t xml:space="preserve">Every threshold in the checklist is a guess until this sheet says otherwise. Read it after 30 trades, not before.</x:t>
  </x:si>
  <x:si>
    <x:t xml:space="preserve">1.  DOES THE GRADE MEAN ANYTHING?</x:t>
  </x:si>
  <x:si>
    <x:t xml:space="preserve">If A grades and C grades produce the same avg R, the rubric measures nothing and needs rebuilding.</x:t>
  </x:si>
  <x:si>
    <x:t xml:space="preserve">n</x:t>
  </x:si>
  <x:si>
    <x:t xml:space="preserve">avg R</x:t>
  </x:si>
  <x:si>
    <x:t xml:space="preserve">net $</x:t>
  </x:si>
  <x:si>
    <x:t xml:space="preserve">verdict</x:t>
  </x:si>
  <x:si>
    <x:t xml:space="preserve">Grade A</x:t>
  </x:si>
  <x:si>
    <x:t xml:space="preserve">Want a clean descending ladder A to D</x:t>
  </x:si>
  <x:si>
    <x:t xml:space="preserve">Grade B</x:t>
  </x:si>
  <x:si>
    <x:t xml:space="preserve">Grade C</x:t>
  </x:si>
  <x:si>
    <x:t xml:space="preserve">Grade D</x:t>
  </x:si>
  <x:si>
    <x:t xml:space="preserve">2.  WHICH SETUP ACTUALLY WORKS?</x:t>
  </x:si>
  <x:si>
    <x:t xml:space="preserve">Expect one or two to carry the book. Stop trading the ones that do not.</x:t>
  </x:si>
  <x:si>
    <x:t xml:space="preserve">Below 10 trades this is noise</x:t>
  </x:si>
  <x:si>
    <x:t xml:space="preserve">Upthrust</x:t>
  </x:si>
  <x:si>
    <x:t xml:space="preserve">Sweep</x:t>
  </x:si>
  <x:si>
    <x:t xml:space="preserve">Failed retest</x:t>
  </x:si>
  <x:si>
    <x:t xml:space="preserve">3.  ARE THE THIN HOURS COSTING YOU?</x:t>
  </x:si>
  <x:si>
    <x:t xml:space="preserve">03:00 to 07:00 UTC produces sweeps that reverse and then continue. If this is negative, stop trading it.</x:t>
  </x:si>
  <x:si>
    <x:t xml:space="preserve">Thin hours 03-07 UTC</x:t>
  </x:si>
  <x:si>
    <x:t xml:space="preserve">Negative here means block the window outright</x:t>
  </x:si>
  <x:si>
    <x:t xml:space="preserve">All other hours</x:t>
  </x:si>
  <x:si>
    <x:t xml:space="preserve">4.  IS THE PENETRATION FLOOR RIGHT?</x:t>
  </x:si>
  <x:si>
    <x:t xml:space="preserve">Floor is 0.25 ATR, abandon is 1.0. If losers cluster below 0.25, raise it. If winners appear above 1.0, widen it.</x:t>
  </x:si>
  <x:si>
    <x:t xml:space="preserve">Under 0.25 ATR</x:t>
  </x:si>
  <x:si>
    <x:t xml:space="preserve">0.25 to 0.60</x:t>
  </x:si>
  <x:si>
    <x:t xml:space="preserve">0.60 to 1.00</x:t>
  </x:si>
  <x:si>
    <x:t xml:space="preserve">Over 1.00 ATR</x:t>
  </x:si>
  <x:si>
    <x:t xml:space="preserve">5.  IS THE TWO TO FOUR CANDLE WINDOW RIGHT?</x:t>
  </x:si>
  <x:si>
    <x:t xml:space="preserve">If winners cluster at 1 to 3 candles, tighten the window. If they appear at 5 plus, widen it.</x:t>
  </x:si>
  <x:si>
    <x:t xml:space="preserve">1 to 2 candles</x:t>
  </x:si>
  <x:si>
    <x:t xml:space="preserve">3 to 4 candles</x:t>
  </x:si>
  <x:si>
    <x:t xml:space="preserve">5 or more</x:t>
  </x:si>
  <x:si>
    <x:t xml:space="preserve">6.  DOES OPEN INTEREST CONFIRMATION MATTER?</x:t>
  </x:si>
  <x:si>
    <x:t xml:space="preserve">If these two are the same, drop the check and save yourself the step.</x:t>
  </x:si>
  <x:si>
    <x:t xml:space="preserve">OI confirmed</x:t>
  </x:si>
  <x:si>
    <x:t xml:space="preserve">OI not confirmed</x:t>
  </x:si>
  <x:si>
    <x:t xml:space="preserve">7.  IS THE PROBLEM THE SETUP OR YOU?</x:t>
  </x:si>
  <x:si>
    <x:t xml:space="preserve">If in-plan trades are profitable and out-of-plan are not, the strategy is fine and discipline is the issue.</x:t>
  </x:si>
  <x:si>
    <x:t xml:space="preserve">Followed the plan</x:t>
  </x:si>
  <x:si>
    <x:t xml:space="preserve">Did not follow the plan</x:t>
  </x:si>
  <x:si>
    <x:t xml:space="preserve">8.  IS LEVERAGE HURTING YOU?</x:t>
  </x:si>
  <x:si>
    <x:t xml:space="preserve">Leverage never changes R. It only moves your liquidation price closer to your stop. If the high leverage rows underperform, you are being liquidated on trades that were not wrong.</x:t>
  </x:si>
  <x:si>
    <x:t xml:space="preserve">1x to 2x</x:t>
  </x:si>
  <x:si>
    <x:t xml:space="preserve">Required leverage = risk% / stop%. Above that is unused.</x:t>
  </x:si>
  <x:si>
    <x:t xml:space="preserve">3x to 5x</x:t>
  </x:si>
  <x:si>
    <x:t xml:space="preserve">6x to 10x</x:t>
  </x:si>
  <x:si>
    <x:t xml:space="preserve">Over 10x</x:t>
  </x:si>
  <x:si>
    <x:t xml:space="preserve">PLAYBOOK   -   if it is not on this page, it is not a trade</x:t>
  </x:si>
  <x:si>
    <x:t xml:space="preserve">RISK RULES</x:t>
  </x:si>
  <x:si>
    <x:t xml:space="preserve">1.</x:t>
  </x:si>
  <x:si>
    <x:t xml:space="preserve">Risk 1% of equity per trade. Size comes from the stop, never the other way round.</x:t>
  </x:si>
  <x:si>
    <x:t xml:space="preserve">2.</x:t>
  </x:si>
  <x:si>
    <x:t xml:space="preserve">Stop goes a few ticks beyond the trap's extreme wick, not beyond the level.</x:t>
  </x:si>
  <x:si>
    <x:t xml:space="preserve">3.</x:t>
  </x:si>
  <x:si>
    <x:t xml:space="preserve">Liquidation must sit at least 3 stop widths away. Check the Liq buffer column before sending.</x:t>
  </x:si>
  <x:si>
    <x:t xml:space="preserve">4.</x:t>
  </x:si>
  <x:si>
    <x:t xml:space="preserve">Required leverage is risk% divided by stop%. Anything above that is unused risk.</x:t>
  </x:si>
  <x:si>
    <x:t xml:space="preserve">5.</x:t>
  </x:si>
  <x:si>
    <x:t xml:space="preserve">Entry is the decisive CLOSE back inside. Never the wick.</x:t>
  </x:si>
  <x:si>
    <x:t xml:space="preserve">6.</x:t>
  </x:si>
  <x:si>
    <x:t xml:space="preserve">No expansion by candle four: exit at breakeven. Rule, not judgment.</x:t>
  </x:si>
  <x:si>
    <x:t xml:space="preserve">7.</x:t>
  </x:si>
  <x:si>
    <x:t xml:space="preserve">Never move a stop away from entry.</x:t>
  </x:si>
  <x:si>
    <x:t xml:space="preserve">8.</x:t>
  </x:si>
  <x:si>
    <x:t xml:space="preserve">Both gates must pass: range 6x ATR and 4x the stop, cost under 10% of risk.</x:t>
  </x:si>
  <x:si>
    <x:t xml:space="preserve">9.</x:t>
  </x:si>
  <x:si>
    <x:t xml:space="preserve">Middle third of the range: no trade.</x:t>
  </x:si>
  <x:si>
    <x:t xml:space="preserve">10.</x:t>
  </x:si>
  <x:si>
    <x:t xml:space="preserve">Three losses in a day: stop for the day.</x:t>
  </x:si>
  <x:si>
    <x:t xml:space="preserve">11.</x:t>
  </x:si>
  <x:si>
    <x:t xml:space="preserve">Rule changes happen at the monthly review, never during a session.</x:t>
  </x:si>
  <x:si>
    <x:t xml:space="preserve">12.</x:t>
  </x:si>
  <x:si>
    <x:t xml:space="preserve">Log within 10 minutes, win or lose, taken or skipped.</x:t>
  </x:si>
  <x:si>
    <x:t xml:space="preserve">THE FOUR SETUPS   (edit the trigger and invalidation in your own words)</x:t>
  </x:si>
  <x:si>
    <x:t xml:space="preserve">Entry trigger</x:t>
  </x:si>
  <x:si>
    <x:t xml:space="preserve">Invalidation</x:t>
  </x:si>
  <x:si>
    <x:t xml:space="preserve">Target</x:t>
  </x:si>
  <x:si>
    <x:t xml:space="preserve">Notes</x:t>
  </x:si>
  <x:si>
    <x:t xml:space="preserve">Close back above the range low after a break</x:t>
  </x:si>
  <x:si>
    <x:t xml:space="preserve">Below the sweep wick</x:t>
  </x:si>
  <x:si>
    <x:t xml:space="preserve">Range high</x:t>
  </x:si>
  <x:si>
    <x:t xml:space="preserve">Close back below the range high after a break</x:t>
  </x:si>
  <x:si>
    <x:t xml:space="preserve">Above the trap wick</x:t>
  </x:si>
  <x:si>
    <x:t xml:space="preserve">Range low</x:t>
  </x:si>
  <x:si>
    <x:t xml:space="preserve">Wick through the level, close back inside, OI drops</x:t>
  </x:si>
  <x:si>
    <x:t xml:space="preserve">Beyond the sweep wick</x:t>
  </x:si>
  <x:si>
    <x:t xml:space="preserve">Prior swing</x:t>
  </x:si>
  <x:si>
    <x:t xml:space="preserve">Retest of a broken level closes back through</x:t>
  </x:si>
  <x:si>
    <x:t xml:space="preserve">Beyond the retest extreme</x:t>
  </x:si>
  <x:si>
    <x:t xml:space="preserve">Prior range</x:t>
  </x:si>
  <x:si>
    <x:t xml:space="preserve">cum</x:t>
  </x:si>
  <x:si>
    <x:t xml:space="preserve">equity</x:t>
  </x:si>
</x:sst>
</file>

<file path=xl/styles.xml><?xml version="1.0" encoding="utf-8"?>
<x:styleSheet xmlns:x="http://schemas.openxmlformats.org/spreadsheetml/2006/main">
  <x:numFmts count="14">
    <x:numFmt numFmtId="164" formatCode="General"/>
    <x:numFmt numFmtId="165" formatCode="\$#,##0;&quot;($&quot;#,##0\);\-"/>
    <x:numFmt numFmtId="166" formatCode="0.000"/>
    <x:numFmt numFmtId="167" formatCode="0.00\R"/>
    <x:numFmt numFmtId="168" formatCode="0.0%"/>
    <x:numFmt numFmtId="169" formatCode="0.00"/>
    <x:numFmt numFmtId="170" formatCode="0"/>
    <x:numFmt numFmtId="171" formatCode="0.0\x"/>
    <x:numFmt numFmtId="172" formatCode="mm/dd/yyyy"/>
    <x:numFmt numFmtId="173" formatCode="@"/>
    <x:numFmt numFmtId="174" formatCode="\$#,##0.00;&quot;($&quot;#,##0.00\);\-"/>
    <x:numFmt numFmtId="175" formatCode="#,##0.####"/>
    <x:numFmt numFmtId="176" formatCode="0\x"/>
    <x:numFmt numFmtId="177" formatCode="General"/>
  </x:numFmts>
  <x:fonts count="29">
    <x:font>
      <x:sz val="11"/>
      <x:color theme="1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4"/>
      <x:color rgb="FFFFFFFF"/>
      <x:name val="Arial"/>
      <x:family val="0"/>
      <x:charset val="1"/>
    </x:font>
    <x:font>
      <x:b val="true"/>
      <x:sz val="10"/>
      <x:color rgb="FF2FA98C"/>
      <x:name val="Arial"/>
      <x:family val="0"/>
      <x:charset val="1"/>
    </x:font>
    <x:font>
      <x:sz val="10"/>
      <x:color rgb="FFE9F1F6"/>
      <x:name val="Arial"/>
      <x:family val="0"/>
      <x:charset val="1"/>
    </x:font>
    <x:font>
      <x:b val="true"/>
      <x:sz val="9"/>
      <x:color rgb="FF8AA4B5"/>
      <x:name val="Arial"/>
      <x:family val="0"/>
      <x:charset val="1"/>
    </x:font>
    <x:font>
      <x:b val="true"/>
      <x:sz val="11"/>
      <x:color rgb="FF7FC5FF"/>
      <x:name val="Arial"/>
      <x:family val="0"/>
      <x:charset val="1"/>
    </x:font>
    <x:font>
      <x:b val="true"/>
      <x:sz val="8"/>
      <x:color rgb="FF8AA4B5"/>
      <x:name val="Arial"/>
      <x:family val="0"/>
      <x:charset val="1"/>
    </x:font>
    <x:font>
      <x:b val="true"/>
      <x:sz val="14"/>
      <x:color rgb="FFE0B341"/>
      <x:name val="Arial"/>
      <x:family val="0"/>
      <x:charset val="1"/>
    </x:font>
    <x:font>
      <x:b val="true"/>
      <x:sz val="14"/>
      <x:color rgb="FF3FB97E"/>
      <x:name val="Arial"/>
      <x:family val="0"/>
      <x:charset val="1"/>
    </x:font>
    <x:font>
      <x:b val="true"/>
      <x:sz val="14"/>
      <x:color rgb="FF2FA98C"/>
      <x:name val="Arial"/>
      <x:family val="0"/>
      <x:charset val="1"/>
    </x:font>
    <x:font>
      <x:b val="true"/>
      <x:sz val="14"/>
      <x:color rgb="FF8AA4B5"/>
      <x:name val="Arial"/>
      <x:family val="0"/>
      <x:charset val="1"/>
    </x:font>
    <x:font>
      <x:b val="true"/>
      <x:sz val="14"/>
      <x:color rgb="FF7FC5FF"/>
      <x:name val="Arial"/>
      <x:family val="0"/>
      <x:charset val="1"/>
    </x:font>
    <x:font>
      <x:b val="true"/>
      <x:sz val="14"/>
      <x:color rgb="FFE06B57"/>
      <x:name val="Arial"/>
      <x:family val="0"/>
      <x:charset val="1"/>
    </x:font>
    <x:font>
      <x:b val="true"/>
      <x:sz val="9"/>
      <x:color rgb="FFE0B341"/>
      <x:name val="Arial"/>
      <x:family val="0"/>
      <x:charset val="1"/>
    </x:font>
    <x:font>
      <x:b val="true"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 val="true"/>
      <x:sz val="8"/>
      <x:color rgb="FFFFFFFF"/>
      <x:name val="Arial"/>
      <x:family val="0"/>
      <x:charset val="1"/>
    </x:font>
    <x:font>
      <x:sz val="9"/>
      <x:color rgb="FF7FC5FF"/>
      <x:name val="Arial"/>
      <x:family val="0"/>
      <x:charset val="1"/>
    </x:font>
    <x:font>
      <x:sz val="9"/>
      <x:color rgb="FF8AA4B5"/>
      <x:name val="Arial"/>
      <x:family val="0"/>
      <x:charset val="1"/>
    </x:font>
    <x:font>
      <x:b val="true"/>
      <x:sz val="9"/>
      <x:color rgb="FFE9F1F6"/>
      <x:name val="Arial"/>
      <x:family val="0"/>
      <x:charset val="1"/>
    </x:font>
    <x:font>
      <x:sz val="8"/>
      <x:color rgb="FF8AA4B5"/>
      <x:name val="Arial"/>
      <x:family val="0"/>
      <x:charset val="1"/>
    </x:font>
    <x:font>
      <x:sz val="9"/>
      <x:color rgb="FFFFFFFF"/>
      <x:name val="Arial"/>
      <x:family val="0"/>
      <x:charset val="1"/>
    </x:font>
    <x:font>
      <x:sz val="9"/>
      <x:color rgb="FFE0B341"/>
      <x:name val="Arial"/>
      <x:family val="0"/>
      <x:charset val="1"/>
    </x:font>
    <x:font>
      <x:sz val="9"/>
      <x:color rgb="FFE9F1F6"/>
      <x:name val="Arial"/>
      <x:family val="0"/>
      <x:charset val="1"/>
    </x:font>
    <x:font>
      <x:b val="true"/>
      <x:sz val="9"/>
      <x:color rgb="FF2FA98C"/>
      <x:name val="Arial"/>
      <x:family val="0"/>
      <x:charset val="1"/>
    </x:font>
    <x:font>
      <x:b val="true"/>
      <x:sz val="9"/>
      <x:color rgb="FFFFFFFF"/>
      <x:name val="Arial"/>
      <x:family val="0"/>
      <x:charset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0A1B2A"/>
        <x:bgColor rgb="FF0E2436"/>
      </x:patternFill>
    </x:fill>
    <x:fill>
      <x:patternFill patternType="solid">
        <x:fgColor rgb="FF0E2436"/>
        <x:bgColor rgb="FF0A1B2A"/>
      </x:patternFill>
    </x:fill>
    <x:fill>
      <x:patternFill patternType="solid">
        <x:fgColor rgb="FF13314A"/>
        <x:bgColor rgb="FF0E2436"/>
      </x:patternFill>
    </x:fill>
    <x:fill>
      <x:patternFill patternType="solid">
        <x:fgColor rgb="FF3A4A57"/>
        <x:bgColor rgb="FF1F4763"/>
      </x:patternFill>
    </x:fill>
    <x:fill>
      <x:patternFill patternType="solid">
        <x:fgColor rgb="FF1C4E73"/>
        <x:bgColor rgb="FF1F4763"/>
      </x:patternFill>
    </x:fill>
    <x:fill>
      <x:patternFill patternType="solid">
        <x:fgColor rgb="FF6E401C"/>
        <x:bgColor rgb="FF5A2020"/>
      </x:patternFill>
    </x:fill>
    <x:fill>
      <x:patternFill patternType="solid">
        <x:fgColor rgb="FF1B3F5C"/>
        <x:bgColor rgb="FF1F4763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>
        <x:color rgb="FF1F4763"/>
      </x:left>
      <x:right style="thin">
        <x:color rgb="FF1F4763"/>
      </x:right>
      <x:top style="thin">
        <x:color rgb="FF1F4763"/>
      </x:top>
      <x:bottom style="thin">
        <x:color rgb="FF1F4763"/>
      </x:bottom>
      <x:diagonal/>
    </x:border>
  </x:borders>
  <x:cellStyleXfs count="2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</x:cellStyleXfs>
  <x:cellXfs count="6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0" fillId="3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4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6" fillId="4" borderId="0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7" fillId="3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7" fillId="3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5" fontId="8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9" fillId="3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6" fontId="8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9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7" fontId="10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11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8" fontId="4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9" fontId="4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12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13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1" fontId="14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15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10" fillId="4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6" fillId="3" borderId="0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19" fillId="5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9" fillId="6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9" fillId="7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9" fillId="8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9" fillId="5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9" fillId="6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9" fillId="7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9" fillId="8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2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3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4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5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6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9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2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1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5" fontId="21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4" fontId="22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7" fontId="16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1" fontId="7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7" fontId="23" fillId="3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72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3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4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5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6" fontId="2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9" fontId="25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70" fontId="25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5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4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7" fillId="3" borderId="0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9" fillId="4" borderId="0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9" fillId="8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6" fillId="3" borderId="1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77" fontId="26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7" fontId="22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26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3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27" fillId="4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4" fontId="26" fillId="4" borderId="0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28" fillId="8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28" fillId="4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26" fillId="4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23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72" fontId="23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74" fontId="23" fillId="0" borderId="0" xfId="0" applyFont="true" applyBorder="false" applyAlignment="false" applyProtection="false">
      <x:alignment horizontal="general" vertical="bottom" textRotation="0" wrapText="false" indent="0" shrinkToFit="false"/>
      <x:protection locked="true" hidden="false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  <x:dxfs count="5">
    <x:dxf>
      <x:font>
        <x:name val="Arial"/>
        <x:charset val="1"/>
        <x:family val="0"/>
        <x:b val="1"/>
        <x:color rgb="FFE06B57"/>
        <x:sz val="14"/>
      </x:font>
    </x:dxf>
    <x:dxf>
      <x:font>
        <x:name val="Arial"/>
        <x:charset val="1"/>
        <x:family val="0"/>
        <x:b val="1"/>
        <x:color rgb="FF3FB97E"/>
        <x:sz val="9"/>
      </x:font>
    </x:dxf>
    <x:dxf>
      <x:font>
        <x:name val="Arial"/>
        <x:charset val="1"/>
        <x:family val="0"/>
        <x:b val="1"/>
        <x:color rgb="FFE06B57"/>
        <x:sz val="9"/>
      </x:font>
    </x:dxf>
    <x:dxf>
      <x:font>
        <x:name val="Arial"/>
        <x:charset val="1"/>
        <x:family val="0"/>
        <x:b val="1"/>
        <x:color rgb="FFE06B57"/>
        <x:sz val="9"/>
      </x:font>
      <x:fill>
        <x:patternFill>
          <x:bgColor rgb="FF5A2020"/>
        </x:patternFill>
      </x:fill>
    </x:dxf>
    <x:dxf>
      <x:font>
        <x:name val="Arial"/>
        <x:charset val="1"/>
        <x:family val="0"/>
        <x:color rgb="FF8AA4B5"/>
        <x:sz val="9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A1B2A"/>
      <x:rgbColor rgb="FF808000"/>
      <x:rgbColor rgb="FF800080"/>
      <x:rgbColor rgb="FF008080"/>
      <x:rgbColor rgb="FFC0C0C0"/>
      <x:rgbColor rgb="FF878787"/>
      <x:rgbColor rgb="FF9999FF"/>
      <x:rgbColor rgb="FF993366"/>
      <x:rgbColor rgb="FFFFFFCC"/>
      <x:rgbColor rgb="FFE9F1F6"/>
      <x:rgbColor rgb="FF660066"/>
      <x:rgbColor rgb="FFE06B57"/>
      <x:rgbColor rgb="FF1C4E73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7FC5FF"/>
      <x:rgbColor rgb="FFFF99CC"/>
      <x:rgbColor rgb="FFCC99FF"/>
      <x:rgbColor rgb="FFFFCC99"/>
      <x:rgbColor rgb="FF3366FF"/>
      <x:rgbColor rgb="FF3FB97E"/>
      <x:rgbColor rgb="FF99CC00"/>
      <x:rgbColor rgb="FFE0B341"/>
      <x:rgbColor rgb="FFFF9900"/>
      <x:rgbColor rgb="FFFF6600"/>
      <x:rgbColor rgb="FF3A4A57"/>
      <x:rgbColor rgb="FF8AA4B5"/>
      <x:rgbColor rgb="FF13314A"/>
      <x:rgbColor rgb="FF2FA98C"/>
      <x:rgbColor rgb="FF0E2436"/>
      <x:rgbColor rgb="FF5A2020"/>
      <x:rgbColor rgb="FF6E401C"/>
      <x:rgbColor rgb="FF993366"/>
      <x:rgbColor rgb="FF1F4763"/>
      <x:rgbColor rgb="FF1B3F5C"/>
    </x:indexedColors>
  </x:colors>
</x: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15="http://schemas.microsoft.com/office/drawing/2012/chart"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Calc!C1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2fa98c"/>
            </a:solidFill>
            <a:ln w="21960">
              <a:solidFill>
                <a:srgbClr val="2f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Calc!$C$2:$C$151</c:f>
              <c:numCache>
                <c:formatCode>General</c:formatCode>
                <c:ptCount val="150"/>
                <c:pt idx="0">
                  <c:v>50875.52508</c:v>
                </c:pt>
                <c:pt idx="1">
                  <c:v>50875.52508</c:v>
                </c:pt>
                <c:pt idx="2">
                  <c:v>50875.52508</c:v>
                </c:pt>
                <c:pt idx="3">
                  <c:v>50875.52508</c:v>
                </c:pt>
                <c:pt idx="4">
                  <c:v>50875.52508</c:v>
                </c:pt>
                <c:pt idx="5">
                  <c:v>50875.52508</c:v>
                </c:pt>
                <c:pt idx="6">
                  <c:v>50875.52508</c:v>
                </c:pt>
                <c:pt idx="7">
                  <c:v>50875.52508</c:v>
                </c:pt>
                <c:pt idx="8">
                  <c:v>50875.52508</c:v>
                </c:pt>
                <c:pt idx="9">
                  <c:v>50875.52508</c:v>
                </c:pt>
                <c:pt idx="10">
                  <c:v>50875.52508</c:v>
                </c:pt>
                <c:pt idx="11">
                  <c:v>50875.52508</c:v>
                </c:pt>
                <c:pt idx="12">
                  <c:v>50875.52508</c:v>
                </c:pt>
                <c:pt idx="13">
                  <c:v>50875.52508</c:v>
                </c:pt>
                <c:pt idx="14">
                  <c:v>50875.52508</c:v>
                </c:pt>
                <c:pt idx="15">
                  <c:v>50875.52508</c:v>
                </c:pt>
                <c:pt idx="16">
                  <c:v>50875.52508</c:v>
                </c:pt>
                <c:pt idx="17">
                  <c:v>50875.52508</c:v>
                </c:pt>
                <c:pt idx="18">
                  <c:v>50875.52508</c:v>
                </c:pt>
                <c:pt idx="19">
                  <c:v>50875.52508</c:v>
                </c:pt>
                <c:pt idx="20">
                  <c:v>50875.52508</c:v>
                </c:pt>
                <c:pt idx="21">
                  <c:v>50875.52508</c:v>
                </c:pt>
                <c:pt idx="22">
                  <c:v>50875.52508</c:v>
                </c:pt>
                <c:pt idx="23">
                  <c:v>50875.52508</c:v>
                </c:pt>
                <c:pt idx="24">
                  <c:v>50875.52508</c:v>
                </c:pt>
                <c:pt idx="25">
                  <c:v>50875.52508</c:v>
                </c:pt>
                <c:pt idx="26">
                  <c:v>50875.52508</c:v>
                </c:pt>
                <c:pt idx="27">
                  <c:v>50875.52508</c:v>
                </c:pt>
                <c:pt idx="28">
                  <c:v>50875.52508</c:v>
                </c:pt>
                <c:pt idx="29">
                  <c:v>50875.52508</c:v>
                </c:pt>
                <c:pt idx="30">
                  <c:v>50875.52508</c:v>
                </c:pt>
                <c:pt idx="31">
                  <c:v>50875.52508</c:v>
                </c:pt>
                <c:pt idx="32">
                  <c:v>50875.52508</c:v>
                </c:pt>
                <c:pt idx="33">
                  <c:v>50875.52508</c:v>
                </c:pt>
                <c:pt idx="34">
                  <c:v>50875.52508</c:v>
                </c:pt>
                <c:pt idx="35">
                  <c:v>50875.52508</c:v>
                </c:pt>
                <c:pt idx="36">
                  <c:v>50875.52508</c:v>
                </c:pt>
                <c:pt idx="37">
                  <c:v>50875.52508</c:v>
                </c:pt>
                <c:pt idx="38">
                  <c:v>50875.52508</c:v>
                </c:pt>
                <c:pt idx="39">
                  <c:v>50875.52508</c:v>
                </c:pt>
                <c:pt idx="40">
                  <c:v>50875.52508</c:v>
                </c:pt>
                <c:pt idx="41">
                  <c:v>50875.52508</c:v>
                </c:pt>
                <c:pt idx="42">
                  <c:v>50875.52508</c:v>
                </c:pt>
                <c:pt idx="43">
                  <c:v>50875.52508</c:v>
                </c:pt>
                <c:pt idx="44">
                  <c:v>50875.52508</c:v>
                </c:pt>
                <c:pt idx="45">
                  <c:v>50875.52508</c:v>
                </c:pt>
                <c:pt idx="46">
                  <c:v>50875.52508</c:v>
                </c:pt>
                <c:pt idx="47">
                  <c:v>50875.52508</c:v>
                </c:pt>
                <c:pt idx="48">
                  <c:v>50875.52508</c:v>
                </c:pt>
                <c:pt idx="49">
                  <c:v>50875.52508</c:v>
                </c:pt>
                <c:pt idx="50">
                  <c:v>50875.52508</c:v>
                </c:pt>
                <c:pt idx="51">
                  <c:v>50875.52508</c:v>
                </c:pt>
                <c:pt idx="52">
                  <c:v>50875.52508</c:v>
                </c:pt>
                <c:pt idx="53">
                  <c:v>50875.52508</c:v>
                </c:pt>
                <c:pt idx="54">
                  <c:v>50875.52508</c:v>
                </c:pt>
                <c:pt idx="55">
                  <c:v>50875.52508</c:v>
                </c:pt>
                <c:pt idx="56">
                  <c:v>50875.52508</c:v>
                </c:pt>
                <c:pt idx="57">
                  <c:v>50875.52508</c:v>
                </c:pt>
                <c:pt idx="58">
                  <c:v>50875.52508</c:v>
                </c:pt>
                <c:pt idx="59">
                  <c:v>50875.52508</c:v>
                </c:pt>
                <c:pt idx="60">
                  <c:v>50875.52508</c:v>
                </c:pt>
                <c:pt idx="61">
                  <c:v>50875.52508</c:v>
                </c:pt>
                <c:pt idx="62">
                  <c:v>50875.52508</c:v>
                </c:pt>
                <c:pt idx="63">
                  <c:v>50875.52508</c:v>
                </c:pt>
                <c:pt idx="64">
                  <c:v>50875.52508</c:v>
                </c:pt>
                <c:pt idx="65">
                  <c:v>50875.52508</c:v>
                </c:pt>
                <c:pt idx="66">
                  <c:v>50875.52508</c:v>
                </c:pt>
                <c:pt idx="67">
                  <c:v>50875.52508</c:v>
                </c:pt>
                <c:pt idx="68">
                  <c:v>50875.52508</c:v>
                </c:pt>
                <c:pt idx="69">
                  <c:v>50875.52508</c:v>
                </c:pt>
                <c:pt idx="70">
                  <c:v>50875.52508</c:v>
                </c:pt>
                <c:pt idx="71">
                  <c:v>50875.52508</c:v>
                </c:pt>
                <c:pt idx="72">
                  <c:v>50875.52508</c:v>
                </c:pt>
                <c:pt idx="73">
                  <c:v>50875.52508</c:v>
                </c:pt>
                <c:pt idx="74">
                  <c:v>50875.52508</c:v>
                </c:pt>
                <c:pt idx="75">
                  <c:v>50875.52508</c:v>
                </c:pt>
                <c:pt idx="76">
                  <c:v>50875.52508</c:v>
                </c:pt>
                <c:pt idx="77">
                  <c:v>50875.52508</c:v>
                </c:pt>
                <c:pt idx="78">
                  <c:v>50875.52508</c:v>
                </c:pt>
                <c:pt idx="79">
                  <c:v>50875.52508</c:v>
                </c:pt>
                <c:pt idx="80">
                  <c:v>50875.52508</c:v>
                </c:pt>
                <c:pt idx="81">
                  <c:v>50875.52508</c:v>
                </c:pt>
                <c:pt idx="82">
                  <c:v>50875.52508</c:v>
                </c:pt>
                <c:pt idx="83">
                  <c:v>50875.52508</c:v>
                </c:pt>
                <c:pt idx="84">
                  <c:v>50875.52508</c:v>
                </c:pt>
                <c:pt idx="85">
                  <c:v>50875.52508</c:v>
                </c:pt>
                <c:pt idx="86">
                  <c:v>50875.52508</c:v>
                </c:pt>
                <c:pt idx="87">
                  <c:v>50875.52508</c:v>
                </c:pt>
                <c:pt idx="88">
                  <c:v>50875.52508</c:v>
                </c:pt>
                <c:pt idx="89">
                  <c:v>50875.52508</c:v>
                </c:pt>
                <c:pt idx="90">
                  <c:v>50875.52508</c:v>
                </c:pt>
                <c:pt idx="91">
                  <c:v>50875.52508</c:v>
                </c:pt>
                <c:pt idx="92">
                  <c:v>50875.52508</c:v>
                </c:pt>
                <c:pt idx="93">
                  <c:v>50875.52508</c:v>
                </c:pt>
                <c:pt idx="94">
                  <c:v>50875.52508</c:v>
                </c:pt>
                <c:pt idx="95">
                  <c:v>50875.52508</c:v>
                </c:pt>
                <c:pt idx="96">
                  <c:v>50875.52508</c:v>
                </c:pt>
                <c:pt idx="97">
                  <c:v>50875.52508</c:v>
                </c:pt>
                <c:pt idx="98">
                  <c:v>50875.52508</c:v>
                </c:pt>
                <c:pt idx="99">
                  <c:v>50875.52508</c:v>
                </c:pt>
                <c:pt idx="100">
                  <c:v>50875.52508</c:v>
                </c:pt>
                <c:pt idx="101">
                  <c:v>50875.52508</c:v>
                </c:pt>
                <c:pt idx="102">
                  <c:v>50875.52508</c:v>
                </c:pt>
                <c:pt idx="103">
                  <c:v>50875.52508</c:v>
                </c:pt>
                <c:pt idx="104">
                  <c:v>50875.52508</c:v>
                </c:pt>
                <c:pt idx="105">
                  <c:v>50875.52508</c:v>
                </c:pt>
                <c:pt idx="106">
                  <c:v>50875.52508</c:v>
                </c:pt>
                <c:pt idx="107">
                  <c:v>50875.52508</c:v>
                </c:pt>
                <c:pt idx="108">
                  <c:v>50875.52508</c:v>
                </c:pt>
                <c:pt idx="109">
                  <c:v>50875.52508</c:v>
                </c:pt>
                <c:pt idx="110">
                  <c:v>50875.52508</c:v>
                </c:pt>
                <c:pt idx="111">
                  <c:v>50875.52508</c:v>
                </c:pt>
                <c:pt idx="112">
                  <c:v>50875.52508</c:v>
                </c:pt>
                <c:pt idx="113">
                  <c:v>50875.52508</c:v>
                </c:pt>
                <c:pt idx="114">
                  <c:v>50875.52508</c:v>
                </c:pt>
                <c:pt idx="115">
                  <c:v>50875.52508</c:v>
                </c:pt>
                <c:pt idx="116">
                  <c:v>50875.52508</c:v>
                </c:pt>
                <c:pt idx="117">
                  <c:v>50875.52508</c:v>
                </c:pt>
                <c:pt idx="118">
                  <c:v>50875.52508</c:v>
                </c:pt>
                <c:pt idx="119">
                  <c:v>50875.52508</c:v>
                </c:pt>
                <c:pt idx="120">
                  <c:v>50875.52508</c:v>
                </c:pt>
                <c:pt idx="121">
                  <c:v>50875.52508</c:v>
                </c:pt>
                <c:pt idx="122">
                  <c:v>50875.52508</c:v>
                </c:pt>
                <c:pt idx="123">
                  <c:v>50875.52508</c:v>
                </c:pt>
                <c:pt idx="124">
                  <c:v>50875.52508</c:v>
                </c:pt>
                <c:pt idx="125">
                  <c:v>50875.52508</c:v>
                </c:pt>
                <c:pt idx="126">
                  <c:v>50875.52508</c:v>
                </c:pt>
                <c:pt idx="127">
                  <c:v>50875.52508</c:v>
                </c:pt>
                <c:pt idx="128">
                  <c:v>50875.52508</c:v>
                </c:pt>
                <c:pt idx="129">
                  <c:v>50875.52508</c:v>
                </c:pt>
                <c:pt idx="130">
                  <c:v>50875.52508</c:v>
                </c:pt>
                <c:pt idx="131">
                  <c:v>50875.52508</c:v>
                </c:pt>
                <c:pt idx="132">
                  <c:v>50875.52508</c:v>
                </c:pt>
                <c:pt idx="133">
                  <c:v>50875.52508</c:v>
                </c:pt>
                <c:pt idx="134">
                  <c:v>50875.52508</c:v>
                </c:pt>
                <c:pt idx="135">
                  <c:v>50875.52508</c:v>
                </c:pt>
                <c:pt idx="136">
                  <c:v>50875.52508</c:v>
                </c:pt>
                <c:pt idx="137">
                  <c:v>50875.52508</c:v>
                </c:pt>
                <c:pt idx="138">
                  <c:v>50875.52508</c:v>
                </c:pt>
                <c:pt idx="139">
                  <c:v>50875.52508</c:v>
                </c:pt>
                <c:pt idx="140">
                  <c:v>50875.52508</c:v>
                </c:pt>
                <c:pt idx="141">
                  <c:v>50875.52508</c:v>
                </c:pt>
                <c:pt idx="142">
                  <c:v>50875.52508</c:v>
                </c:pt>
                <c:pt idx="143">
                  <c:v>50875.52508</c:v>
                </c:pt>
                <c:pt idx="144">
                  <c:v>50875.52508</c:v>
                </c:pt>
                <c:pt idx="145">
                  <c:v>50875.52508</c:v>
                </c:pt>
                <c:pt idx="146">
                  <c:v>50875.52508</c:v>
                </c:pt>
                <c:pt idx="147">
                  <c:v>50875.52508</c:v>
                </c:pt>
                <c:pt idx="148">
                  <c:v>50875.52508</c:v>
                </c:pt>
                <c:pt idx="149">
                  <c:v>50875.52508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567221"/>
        <c:axId val="70869043"/>
      </c:lineChart>
      <c:catAx>
        <c:axId val="66567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70869043"/>
        <c:crosses val="autoZero"/>
        <c:auto val="1"/>
        <c:lblAlgn val="ctr"/>
        <c:lblOffset val="100"/>
        <c:noMultiLvlLbl val="0"/>
      </c:catAx>
      <c:valAx>
        <c:axId val="70869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66567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c="http://schemas.openxmlformats.org/drawingml/2006/chart"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14</xdr:col>
      <xdr:colOff>514440</xdr:colOff>
      <xdr:row>29</xdr:row>
      <xdr:rowOff>32760</xdr:rowOff>
    </xdr:to>
    <xdr:graphicFrame>
      <xdr:nvGraphicFramePr>
        <xdr:cNvPr id="0" name="Chart 1" descr="" title=""/>
        <xdr:cNvGraphicFramePr/>
      </xdr:nvGraphicFramePr>
      <xdr:xfrm>
        <a:off x="0" y="29718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J36"/>
  <x:sheetViews>
    <x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796875" defaultRowHeight="15" zeroHeight="false" outlineLevelRow="0" outlineLevelCol="0"/>
  <x:cols>
    <x:col min="1" max="10" width="14" style="0" hidden="false" customWidth="true" outlineLevel="0" collapsed="false"/>
  </x:cols>
  <x:sheetData>
    <x:row r="1" customFormat="false" ht="24" hidden="false" customHeight="true" outlineLevel="0" collapsed="false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customFormat="false" ht="15" hidden="false" customHeight="false" outlineLevel="0" collapsed="false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customFormat="false" ht="15" hidden="false" customHeight="false" outlineLevel="0" collapsed="false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customFormat="false" ht="15" hidden="false" customHeight="true" outlineLevel="0" collapsed="false">
      <x:c r="A4" s="4" t="s">
        <x:v>2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customFormat="false" ht="27.75" hidden="false" customHeight="true" outlineLevel="0" collapsed="false">
      <x:c r="A5" s="4" t="s">
        <x:v>3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customFormat="false" ht="15" hidden="false" customHeight="false" outlineLevel="0" collapsed="false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customFormat="false" ht="15" hidden="false" customHeight="false" outlineLevel="0" collapsed="false">
      <x:c r="A7" s="3" t="s">
        <x:v>4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customFormat="false" ht="15" hidden="false" customHeight="true" outlineLevel="0" collapsed="false">
      <x:c r="A8" s="4" t="s">
        <x:v>5</x:v>
      </x:c>
      <x:c r="B8" s="4"/>
      <x:c r="C8" s="4"/>
      <x:c r="D8" s="4"/>
      <x:c r="E8" s="4"/>
      <x:c r="F8" s="4"/>
      <x:c r="G8" s="4"/>
      <x:c r="H8" s="4"/>
      <x:c r="I8" s="4"/>
      <x:c r="J8" s="4"/>
    </x:row>
    <x:row r="9" customFormat="false" ht="15" hidden="false" customHeight="true" outlineLevel="0" collapsed="false">
      <x:c r="A9" s="4" t="s">
        <x:v>6</x:v>
      </x:c>
      <x:c r="B9" s="4"/>
      <x:c r="C9" s="4"/>
      <x:c r="D9" s="4"/>
      <x:c r="E9" s="4"/>
      <x:c r="F9" s="4"/>
      <x:c r="G9" s="4"/>
      <x:c r="H9" s="4"/>
      <x:c r="I9" s="4"/>
      <x:c r="J9" s="4"/>
    </x:row>
    <x:row r="10" customFormat="false" ht="15" hidden="false" customHeight="true" outlineLevel="0" collapsed="false">
      <x:c r="A10" s="4" t="s">
        <x:v>7</x:v>
      </x:c>
      <x:c r="B10" s="4"/>
      <x:c r="C10" s="4"/>
      <x:c r="D10" s="4"/>
      <x:c r="E10" s="4"/>
      <x:c r="F10" s="4"/>
      <x:c r="G10" s="4"/>
      <x:c r="H10" s="4"/>
      <x:c r="I10" s="4"/>
      <x:c r="J10" s="4"/>
    </x:row>
    <x:row r="11" customFormat="false" ht="15" hidden="false" customHeight="true" outlineLevel="0" collapsed="false">
      <x:c r="A11" s="4" t="s">
        <x:v>8</x:v>
      </x:c>
      <x:c r="B11" s="4"/>
      <x:c r="C11" s="4"/>
      <x:c r="D11" s="4"/>
      <x:c r="E11" s="4"/>
      <x:c r="F11" s="4"/>
      <x:c r="G11" s="4"/>
      <x:c r="H11" s="4"/>
      <x:c r="I11" s="4"/>
      <x:c r="J11" s="4"/>
    </x:row>
    <x:row r="12" customFormat="false" ht="15" hidden="false" customHeight="false" outlineLevel="0" collapsed="false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customFormat="false" ht="15" hidden="false" customHeight="false" outlineLevel="0" collapsed="false">
      <x:c r="A13" s="3" t="s">
        <x:v>9</x:v>
      </x:c>
      <x:c r="B13" s="3"/>
      <x:c r="C13" s="3"/>
      <x:c r="D13" s="3"/>
      <x:c r="E13" s="3"/>
      <x:c r="F13" s="3"/>
      <x:c r="G13" s="3"/>
      <x:c r="H13" s="3"/>
      <x:c r="I13" s="3"/>
      <x:c r="J13" s="3"/>
    </x:row>
    <x:row r="14" customFormat="false" ht="15" hidden="false" customHeight="true" outlineLevel="0" collapsed="false">
      <x:c r="A14" s="4" t="s">
        <x:v>10</x:v>
      </x:c>
      <x:c r="B14" s="4"/>
      <x:c r="C14" s="4"/>
      <x:c r="D14" s="4"/>
      <x:c r="E14" s="4"/>
      <x:c r="F14" s="4"/>
      <x:c r="G14" s="4"/>
      <x:c r="H14" s="4"/>
      <x:c r="I14" s="4"/>
      <x:c r="J14" s="4"/>
    </x:row>
    <x:row r="15" customFormat="false" ht="15" hidden="false" customHeight="true" outlineLevel="0" collapsed="false">
      <x:c r="A15" s="4" t="s">
        <x:v>11</x:v>
      </x:c>
      <x:c r="B15" s="4"/>
      <x:c r="C15" s="4"/>
      <x:c r="D15" s="4"/>
      <x:c r="E15" s="4"/>
      <x:c r="F15" s="4"/>
      <x:c r="G15" s="4"/>
      <x:c r="H15" s="4"/>
      <x:c r="I15" s="4"/>
      <x:c r="J15" s="4"/>
    </x:row>
    <x:row r="16" customFormat="false" ht="15" hidden="false" customHeight="true" outlineLevel="0" collapsed="false">
      <x:c r="A16" s="4" t="s">
        <x:v>12</x:v>
      </x:c>
      <x:c r="B16" s="4"/>
      <x:c r="C16" s="4"/>
      <x:c r="D16" s="4"/>
      <x:c r="E16" s="4"/>
      <x:c r="F16" s="4"/>
      <x:c r="G16" s="4"/>
      <x:c r="H16" s="4"/>
      <x:c r="I16" s="4"/>
      <x:c r="J16" s="4"/>
    </x:row>
    <x:row r="17" customFormat="false" ht="15" hidden="false" customHeight="true" outlineLevel="0" collapsed="false">
      <x:c r="A17" s="4" t="s">
        <x:v>13</x:v>
      </x:c>
      <x:c r="B17" s="4"/>
      <x:c r="C17" s="4"/>
      <x:c r="D17" s="4"/>
      <x:c r="E17" s="4"/>
      <x:c r="F17" s="4"/>
      <x:c r="G17" s="4"/>
      <x:c r="H17" s="4"/>
      <x:c r="I17" s="4"/>
      <x:c r="J17" s="4"/>
    </x:row>
    <x:row r="18" customFormat="false" ht="15" hidden="false" customHeight="false" outlineLevel="0" collapsed="false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customFormat="false" ht="15" hidden="false" customHeight="false" outlineLevel="0" collapsed="false">
      <x:c r="A19" s="3" t="s">
        <x:v>14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 customFormat="false" ht="15" hidden="false" customHeight="true" outlineLevel="0" collapsed="false">
      <x:c r="A20" s="4" t="s">
        <x:v>15</x:v>
      </x:c>
      <x:c r="B20" s="4"/>
      <x:c r="C20" s="4"/>
      <x:c r="D20" s="4"/>
      <x:c r="E20" s="4"/>
      <x:c r="F20" s="4"/>
      <x:c r="G20" s="4"/>
      <x:c r="H20" s="4"/>
      <x:c r="I20" s="4"/>
      <x:c r="J20" s="4"/>
    </x:row>
    <x:row r="21" customFormat="false" ht="15" hidden="false" customHeight="true" outlineLevel="0" collapsed="false">
      <x:c r="A21" s="4" t="s">
        <x:v>16</x:v>
      </x:c>
      <x:c r="B21" s="4"/>
      <x:c r="C21" s="4"/>
      <x:c r="D21" s="4"/>
      <x:c r="E21" s="4"/>
      <x:c r="F21" s="4"/>
      <x:c r="G21" s="4"/>
      <x:c r="H21" s="4"/>
      <x:c r="I21" s="4"/>
      <x:c r="J21" s="4"/>
    </x:row>
    <x:row r="22" customFormat="false" ht="15" hidden="false" customHeight="true" outlineLevel="0" collapsed="false">
      <x:c r="A22" s="4" t="s">
        <x:v>17</x:v>
      </x:c>
      <x:c r="B22" s="4"/>
      <x:c r="C22" s="4"/>
      <x:c r="D22" s="4"/>
      <x:c r="E22" s="4"/>
      <x:c r="F22" s="4"/>
      <x:c r="G22" s="4"/>
      <x:c r="H22" s="4"/>
      <x:c r="I22" s="4"/>
      <x:c r="J22" s="4"/>
    </x:row>
    <x:row r="23" customFormat="false" ht="27.75" hidden="false" customHeight="true" outlineLevel="0" collapsed="false">
      <x:c r="A23" s="4" t="s">
        <x:v>18</x:v>
      </x:c>
      <x:c r="B23" s="4"/>
      <x:c r="C23" s="4"/>
      <x:c r="D23" s="4"/>
      <x:c r="E23" s="4"/>
      <x:c r="F23" s="4"/>
      <x:c r="G23" s="4"/>
      <x:c r="H23" s="4"/>
      <x:c r="I23" s="4"/>
      <x:c r="J23" s="4"/>
    </x:row>
    <x:row r="24" customFormat="false" ht="15" hidden="false" customHeight="false" outlineLevel="0" collapsed="false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customFormat="false" ht="15" hidden="false" customHeight="false" outlineLevel="0" collapsed="false">
      <x:c r="A25" s="3" t="s">
        <x:v>19</x:v>
      </x:c>
      <x:c r="B25" s="3"/>
      <x:c r="C25" s="3"/>
      <x:c r="D25" s="3"/>
      <x:c r="E25" s="3"/>
      <x:c r="F25" s="3"/>
      <x:c r="G25" s="3"/>
      <x:c r="H25" s="3"/>
      <x:c r="I25" s="3"/>
      <x:c r="J25" s="3"/>
    </x:row>
    <x:row r="26" customFormat="false" ht="15" hidden="false" customHeight="true" outlineLevel="0" collapsed="false">
      <x:c r="A26" s="4" t="s">
        <x:v>20</x:v>
      </x:c>
      <x:c r="B26" s="4"/>
      <x:c r="C26" s="4"/>
      <x:c r="D26" s="4"/>
      <x:c r="E26" s="4"/>
      <x:c r="F26" s="4"/>
      <x:c r="G26" s="4"/>
      <x:c r="H26" s="4"/>
      <x:c r="I26" s="4"/>
      <x:c r="J26" s="4"/>
    </x:row>
    <x:row r="27" customFormat="false" ht="15" hidden="false" customHeight="true" outlineLevel="0" collapsed="false">
      <x:c r="A27" s="4" t="s">
        <x:v>21</x:v>
      </x:c>
      <x:c r="B27" s="4"/>
      <x:c r="C27" s="4"/>
      <x:c r="D27" s="4"/>
      <x:c r="E27" s="4"/>
      <x:c r="F27" s="4"/>
      <x:c r="G27" s="4"/>
      <x:c r="H27" s="4"/>
      <x:c r="I27" s="4"/>
      <x:c r="J27" s="4"/>
    </x:row>
    <x:row r="28" customFormat="false" ht="15" hidden="false" customHeight="true" outlineLevel="0" collapsed="false">
      <x:c r="A28" s="4" t="s">
        <x:v>22</x:v>
      </x:c>
      <x:c r="B28" s="4"/>
      <x:c r="C28" s="4"/>
      <x:c r="D28" s="4"/>
      <x:c r="E28" s="4"/>
      <x:c r="F28" s="4"/>
      <x:c r="G28" s="4"/>
      <x:c r="H28" s="4"/>
      <x:c r="I28" s="4"/>
      <x:c r="J28" s="4"/>
    </x:row>
    <x:row r="29" customFormat="false" ht="15" hidden="false" customHeight="false" outlineLevel="0" collapsed="false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customFormat="false" ht="15" hidden="false" customHeight="false" outlineLevel="0" collapsed="false">
      <x:c r="A30" s="3" t="s">
        <x:v>23</x:v>
      </x:c>
      <x:c r="B30" s="3"/>
      <x:c r="C30" s="3"/>
      <x:c r="D30" s="3"/>
      <x:c r="E30" s="3"/>
      <x:c r="F30" s="3"/>
      <x:c r="G30" s="3"/>
      <x:c r="H30" s="3"/>
      <x:c r="I30" s="3"/>
      <x:c r="J30" s="3"/>
    </x:row>
    <x:row r="31" customFormat="false" ht="27.75" hidden="false" customHeight="true" outlineLevel="0" collapsed="false">
      <x:c r="A31" s="4" t="s">
        <x:v>24</x:v>
      </x:c>
      <x:c r="B31" s="4"/>
      <x:c r="C31" s="4"/>
      <x:c r="D31" s="4"/>
      <x:c r="E31" s="4"/>
      <x:c r="F31" s="4"/>
      <x:c r="G31" s="4"/>
      <x:c r="H31" s="4"/>
      <x:c r="I31" s="4"/>
      <x:c r="J31" s="4"/>
    </x:row>
    <x:row r="32" customFormat="false" ht="15" hidden="false" customHeight="true" outlineLevel="0" collapsed="false">
      <x:c r="A32" s="4" t="s">
        <x:v>25</x:v>
      </x:c>
      <x:c r="B32" s="4"/>
      <x:c r="C32" s="4"/>
      <x:c r="D32" s="4"/>
      <x:c r="E32" s="4"/>
      <x:c r="F32" s="4"/>
      <x:c r="G32" s="4"/>
      <x:c r="H32" s="4"/>
      <x:c r="I32" s="4"/>
      <x:c r="J32" s="4"/>
    </x:row>
    <x:row r="33" customFormat="false" ht="15" hidden="false" customHeight="false" outlineLevel="0" collapsed="false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customFormat="false" ht="15" hidden="false" customHeight="false" outlineLevel="0" collapsed="false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customFormat="false" ht="15" hidden="false" customHeight="false" outlineLevel="0" collapsed="false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customFormat="false" ht="15" hidden="false" customHeight="false" outlineLevel="0" collapsed="false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mergeCells count="26">
    <x:mergeCell ref="A1:J1"/>
    <x:mergeCell ref="A3:J3"/>
    <x:mergeCell ref="A4:J4"/>
    <x:mergeCell ref="A5:J5"/>
    <x:mergeCell ref="A7:J7"/>
    <x:mergeCell ref="A8:J8"/>
    <x:mergeCell ref="A9:J9"/>
    <x:mergeCell ref="A10:J10"/>
    <x:mergeCell ref="A11:J11"/>
    <x:mergeCell ref="A13:J13"/>
    <x:mergeCell ref="A14:J14"/>
    <x:mergeCell ref="A15:J15"/>
    <x:mergeCell ref="A16:J16"/>
    <x:mergeCell ref="A17:J17"/>
    <x:mergeCell ref="A19:J19"/>
    <x:mergeCell ref="A20:J20"/>
    <x:mergeCell ref="A21:J21"/>
    <x:mergeCell ref="A22:J22"/>
    <x:mergeCell ref="A23:J23"/>
    <x:mergeCell ref="A25:J25"/>
    <x:mergeCell ref="A26:J26"/>
    <x:mergeCell ref="A27:J27"/>
    <x:mergeCell ref="A28:J28"/>
    <x:mergeCell ref="A30:J30"/>
    <x:mergeCell ref="A31:J31"/>
    <x:mergeCell ref="A32:J32"/>
  </x:mergeCells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P44"/>
  <x:sheetViews>
    <x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796875" defaultRowHeight="15" zeroHeight="false" outlineLevelRow="0" outlineLevelCol="0"/>
  <x:cols>
    <x:col min="1" max="16" width="7.5" style="0" hidden="false" customWidth="true" outlineLevel="0" collapsed="false"/>
  </x:cols>
  <x:sheetData>
    <x:row r="1" customFormat="false" ht="24" hidden="false" customHeight="true" outlineLevel="0" collapsed="false">
      <x:c r="A1" s="1" t="s">
        <x:v>26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customFormat="false" ht="15" hidden="false" customHeight="false" outlineLevel="0" collapsed="false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customFormat="false" ht="15" hidden="false" customHeight="false" outlineLevel="0" collapsed="false">
      <x:c r="A3" s="5" t="s">
        <x:v>27</x:v>
      </x:c>
      <x:c r="B3" s="5"/>
      <x:c r="C3" s="2"/>
      <x:c r="D3" s="5" t="s">
        <x:v>28</x:v>
      </x:c>
      <x:c r="E3" s="5"/>
      <x:c r="F3" s="5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customFormat="false" ht="15" hidden="false" customHeight="false" outlineLevel="0" collapsed="false">
      <x:c r="A4" s="6" t="s">
        <x:v>29</x:v>
      </x:c>
      <x:c r="B4" s="7" t="n">
        <x:v>50000</x:v>
      </x:c>
      <x:c r="C4" s="7"/>
      <x:c r="D4" s="8" t="s">
        <x:v>30</x:v>
      </x:c>
      <x:c r="E4" s="8"/>
      <x:c r="F4" s="8"/>
      <x:c r="G4" s="8"/>
      <x:c r="H4" s="8"/>
      <x:c r="I4" s="2"/>
      <x:c r="J4" s="2"/>
      <x:c r="K4" s="2"/>
      <x:c r="L4" s="2"/>
      <x:c r="M4" s="2"/>
      <x:c r="N4" s="2"/>
      <x:c r="O4" s="2"/>
      <x:c r="P4" s="2"/>
    </x:row>
    <x:row r="5" customFormat="false" ht="15" hidden="false" customHeight="false" outlineLevel="0" collapsed="false">
      <x:c r="A5" s="2"/>
      <x:c r="B5" s="2"/>
      <x:c r="C5" s="2"/>
      <x:c r="D5" s="9" t="n">
        <x:v>0.055</x:v>
      </x:c>
      <x:c r="E5" s="8" t="s">
        <x:v>31</x:v>
      </x:c>
      <x:c r="F5" s="8"/>
      <x:c r="G5" s="8"/>
      <x:c r="H5" s="8"/>
      <x:c r="I5" s="2"/>
      <x:c r="J5" s="2"/>
      <x:c r="K5" s="2"/>
      <x:c r="L5" s="2"/>
      <x:c r="M5" s="2"/>
      <x:c r="N5" s="2"/>
      <x:c r="O5" s="2"/>
      <x:c r="P5" s="2"/>
    </x:row>
    <x:row r="6" customFormat="false" ht="15" hidden="false" customHeight="false" outlineLevel="0" collapsed="false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customFormat="false" ht="15" hidden="false" customHeight="false" outlineLevel="0" collapsed="false">
      <x:c r="A7" s="10" t="s">
        <x:v>32</x:v>
      </x:c>
      <x:c r="B7" s="10"/>
      <x:c r="C7" s="10"/>
      <x:c r="D7" s="10" t="s">
        <x:v>33</x:v>
      </x:c>
      <x:c r="E7" s="10"/>
      <x:c r="F7" s="10"/>
      <x:c r="G7" s="10" t="s">
        <x:v>34</x:v>
      </x:c>
      <x:c r="H7" s="10"/>
      <x:c r="I7" s="10"/>
      <x:c r="J7" s="10" t="s">
        <x:v>35</x:v>
      </x:c>
      <x:c r="K7" s="10"/>
      <x:c r="L7" s="10"/>
      <x:c r="M7" s="10" t="s">
        <x:v>36</x:v>
      </x:c>
      <x:c r="N7" s="10"/>
      <x:c r="O7" s="10"/>
      <x:c r="P7" s="2"/>
    </x:row>
    <x:row r="8" customFormat="false" ht="15" hidden="false" customHeight="false" outlineLevel="0" collapsed="false">
      <x:c r="A8" s="11" t="n">
        <x:f aca="false">IFERROR(AVERAGEIFS('Trade Log'!$T$4:$T$153,'Trade Log'!$G$4:$G$153,"Yes",'Trade Log'!$T$4:$T$153,"&lt;&gt;"),0)</x:f>
        <x:v>1.75526279069767</x:v>
      </x:c>
      <x:c r="B8" s="11"/>
      <x:c r="C8" s="11"/>
      <x:c r="D8" s="12" t="n">
        <x:f aca="false">SUMIFS('Trade Log'!$S$4:$S$153,'Trade Log'!$G$4:$G$153,"Yes")</x:f>
        <x:v>875.52508</x:v>
      </x:c>
      <x:c r="E8" s="12"/>
      <x:c r="F8" s="12"/>
      <x:c r="G8" s="13" t="n">
        <x:f aca="false">IFERROR(COUNTIFS('Trade Log'!$G$4:$G$153,"Yes",'Trade Log'!$T$4:$T$153,"&gt;0")/COUNTIFS('Trade Log'!$G$4:$G$153,"Yes",'Trade Log'!$T$4:$T$153,"&lt;&gt;"),0)</x:f>
        <x:v>1</x:v>
      </x:c>
      <x:c r="H8" s="13"/>
      <x:c r="I8" s="13"/>
      <x:c r="J8" s="14" t="str">
        <x:f aca="false">IF(SUMIFS('Trade Log'!$S$4:$S$153,'Trade Log'!$G$4:$G$153,"Yes",'Trade Log'!$S$4:$S$153,"&lt;0")=0,"-",IFERROR(SUMIFS('Trade Log'!$S$4:$S$153,'Trade Log'!$G$4:$G$153,"Yes",'Trade Log'!$S$4:$S$153,"&gt;0")/-SUMIFS('Trade Log'!$S$4:$S$153,'Trade Log'!$G$4:$G$153,"Yes",'Trade Log'!$S$4:$S$153,"&lt;0"),0))</x:f>
        <x:v>-</x:v>
      </x:c>
      <x:c r="K8" s="14"/>
      <x:c r="L8" s="14"/>
      <x:c r="M8" s="13" t="n">
        <x:f aca="false">IFERROR(COUNTIFS('Trade Log'!$G$4:$G$153,"Yes",'Trade Log'!$M$4:$M$153,"Yes")/COUNTIFS('Trade Log'!$G$4:$G$153,"Yes",'Trade Log'!$T$4:$T$153,"&lt;&gt;"),0)</x:f>
        <x:v>1</x:v>
      </x:c>
      <x:c r="N8" s="13"/>
      <x:c r="O8" s="13"/>
      <x:c r="P8" s="2"/>
    </x:row>
    <x:row r="9" customFormat="false" ht="15" hidden="false" customHeight="false" outlineLevel="0" collapsed="false">
      <x:c r="A9" s="11"/>
      <x:c r="B9" s="11"/>
      <x:c r="C9" s="11"/>
      <x:c r="D9" s="12"/>
      <x:c r="E9" s="12"/>
      <x:c r="F9" s="12"/>
      <x:c r="G9" s="13"/>
      <x:c r="H9" s="13"/>
      <x:c r="I9" s="13"/>
      <x:c r="J9" s="14"/>
      <x:c r="K9" s="14"/>
      <x:c r="L9" s="14"/>
      <x:c r="M9" s="13"/>
      <x:c r="N9" s="13"/>
      <x:c r="O9" s="13"/>
      <x:c r="P9" s="2"/>
    </x:row>
    <x:row r="10" customFormat="false" ht="15" hidden="false" customHeight="false" outlineLevel="0" collapsed="false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customFormat="false" ht="15" hidden="false" customHeight="false" outlineLevel="0" collapsed="false">
      <x:c r="A11" s="10" t="s">
        <x:v>37</x:v>
      </x:c>
      <x:c r="B11" s="10"/>
      <x:c r="C11" s="10"/>
      <x:c r="D11" s="10" t="s">
        <x:v>38</x:v>
      </x:c>
      <x:c r="E11" s="10"/>
      <x:c r="F11" s="10"/>
      <x:c r="G11" s="10" t="s">
        <x:v>39</x:v>
      </x:c>
      <x:c r="H11" s="10"/>
      <x:c r="I11" s="10"/>
      <x:c r="J11" s="10" t="s">
        <x:v>40</x:v>
      </x:c>
      <x:c r="K11" s="10"/>
      <x:c r="L11" s="10"/>
      <x:c r="M11" s="10" t="s">
        <x:v>41</x:v>
      </x:c>
      <x:c r="N11" s="10"/>
      <x:c r="O11" s="10"/>
      <x:c r="P11" s="2"/>
    </x:row>
    <x:row r="12" customFormat="false" ht="15" hidden="false" customHeight="false" outlineLevel="0" collapsed="false">
      <x:c r="A12" s="15" t="n">
        <x:f aca="false">COUNTIFS('Trade Log'!$G$4:$G$153,"Yes",'Trade Log'!$T$4:$T$153,"&lt;&gt;")</x:f>
        <x:v>1</x:v>
      </x:c>
      <x:c r="B12" s="15"/>
      <x:c r="C12" s="15"/>
      <x:c r="D12" s="16" t="n">
        <x:f aca="false">COUNTIF('Trade Log'!$G$4:$G$153,"No")</x:f>
        <x:v>0</x:v>
      </x:c>
      <x:c r="E12" s="16"/>
      <x:c r="F12" s="16"/>
      <x:c r="G12" s="17" t="n">
        <x:f aca="false">IFERROR(AVERAGEIFS('Trade Log'!$L$4:$L$153,'Trade Log'!$G$4:$G$153,"Yes",'Trade Log'!$L$4:$L$153,"&gt;0"),0)</x:f>
        <x:v>3</x:v>
      </x:c>
      <x:c r="H12" s="17"/>
      <x:c r="I12" s="17"/>
      <x:c r="J12" s="18" t="n">
        <x:f aca="false">COUNTIFS('Trade Log'!$G$4:$G$153,"Yes",'Trade Log'!$U$4:$U$153,"&gt;0",'Trade Log'!$U$4:$U$153,"&lt;3")</x:f>
        <x:v>0</x:v>
      </x:c>
      <x:c r="K12" s="18"/>
      <x:c r="L12" s="18"/>
      <x:c r="M12" s="19" t="n">
        <x:f aca="false">MAX(0,30-COUNTIFS('Trade Log'!$G$4:$G$153,"Yes",'Trade Log'!$T$4:$T$153,"&lt;&gt;"))</x:f>
        <x:v>29</x:v>
      </x:c>
      <x:c r="N12" s="19"/>
      <x:c r="O12" s="19"/>
      <x:c r="P12" s="2"/>
    </x:row>
    <x:row r="13" customFormat="false" ht="15" hidden="false" customHeight="false" outlineLevel="0" collapsed="false">
      <x:c r="A13" s="15"/>
      <x:c r="B13" s="15"/>
      <x:c r="C13" s="15"/>
      <x:c r="D13" s="16"/>
      <x:c r="E13" s="16"/>
      <x:c r="F13" s="16"/>
      <x:c r="G13" s="17"/>
      <x:c r="H13" s="17"/>
      <x:c r="I13" s="17"/>
      <x:c r="J13" s="18"/>
      <x:c r="K13" s="18"/>
      <x:c r="L13" s="18"/>
      <x:c r="M13" s="19"/>
      <x:c r="N13" s="19"/>
      <x:c r="O13" s="19"/>
      <x:c r="P13" s="2"/>
    </x:row>
    <x:row r="14" customFormat="false" ht="15" hidden="false" customHeight="false" outlineLevel="0" collapsed="false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customFormat="false" ht="15" hidden="false" customHeight="false" outlineLevel="0" collapsed="false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customFormat="false" ht="15" hidden="false" customHeight="false" outlineLevel="0" collapsed="false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customFormat="false" ht="15" hidden="false" customHeight="false" outlineLevel="0" collapsed="false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customFormat="false" ht="15" hidden="false" customHeight="false" outlineLevel="0" collapsed="false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customFormat="false" ht="15" hidden="false" customHeight="false" outlineLevel="0" collapsed="false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customFormat="false" ht="15" hidden="false" customHeight="false" outlineLevel="0" collapsed="false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customFormat="false" ht="15" hidden="false" customHeight="false" outlineLevel="0" collapsed="false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customFormat="false" ht="15" hidden="false" customHeight="false" outlineLevel="0" collapsed="false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customFormat="false" ht="15" hidden="false" customHeight="false" outlineLevel="0" collapsed="false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customFormat="false" ht="15" hidden="false" customHeight="false" outlineLevel="0" collapsed="false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customFormat="false" ht="15" hidden="false" customHeight="false" outlineLevel="0" collapsed="false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customFormat="false" ht="15" hidden="false" customHeight="false" outlineLevel="0" collapsed="false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customFormat="false" ht="15" hidden="false" customHeight="false" outlineLevel="0" collapsed="false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customFormat="false" ht="15" hidden="false" customHeight="false" outlineLevel="0" collapsed="false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customFormat="false" ht="15" hidden="false" customHeight="false" outlineLevel="0" collapsed="false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customFormat="false" ht="15" hidden="false" customHeight="false" outlineLevel="0" collapsed="false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customFormat="false" ht="15" hidden="false" customHeight="false" outlineLevel="0" collapsed="false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customFormat="false" ht="15" hidden="false" customHeight="false" outlineLevel="0" collapsed="false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customFormat="false" ht="15" hidden="false" customHeight="false" outlineLevel="0" collapsed="false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customFormat="false" ht="15" hidden="false" customHeight="false" outlineLevel="0" collapsed="false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customFormat="false" ht="15" hidden="false" customHeight="false" outlineLevel="0" collapsed="false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customFormat="false" ht="15" hidden="false" customHeight="false" outlineLevel="0" collapsed="false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customFormat="false" ht="15" hidden="false" customHeight="false" outlineLevel="0" collapsed="false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customFormat="false" ht="15" hidden="false" customHeight="false" outlineLevel="0" collapsed="false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customFormat="false" ht="15" hidden="false" customHeight="false" outlineLevel="0" collapsed="false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customFormat="false" ht="15" hidden="false" customHeight="false" outlineLevel="0" collapsed="false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customFormat="false" ht="15" hidden="false" customHeight="false" outlineLevel="0" collapsed="false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customFormat="false" ht="15" hidden="false" customHeight="false" outlineLevel="0" collapsed="false">
      <x:c r="A42" s="20" t="s">
        <x:v>42</x:v>
      </x:c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 customFormat="false" ht="15" hidden="false" customHeight="false" outlineLevel="0" collapsed="false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customFormat="false" ht="15" hidden="false" customHeight="false" outlineLevel="0" collapsed="false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</x:sheetData>
  <x:mergeCells count="27">
    <x:mergeCell ref="A1:P1"/>
    <x:mergeCell ref="A3:B3"/>
    <x:mergeCell ref="D3:F3"/>
    <x:mergeCell ref="B4:C4"/>
    <x:mergeCell ref="D4:H4"/>
    <x:mergeCell ref="E5:H5"/>
    <x:mergeCell ref="A7:C7"/>
    <x:mergeCell ref="D7:F7"/>
    <x:mergeCell ref="G7:I7"/>
    <x:mergeCell ref="J7:L7"/>
    <x:mergeCell ref="M7:O7"/>
    <x:mergeCell ref="A8:C9"/>
    <x:mergeCell ref="D8:F9"/>
    <x:mergeCell ref="G8:I9"/>
    <x:mergeCell ref="J8:L9"/>
    <x:mergeCell ref="M8:O9"/>
    <x:mergeCell ref="A11:C11"/>
    <x:mergeCell ref="D11:F11"/>
    <x:mergeCell ref="G11:I11"/>
    <x:mergeCell ref="J11:L11"/>
    <x:mergeCell ref="M11:O11"/>
    <x:mergeCell ref="A12:C13"/>
    <x:mergeCell ref="D12:F13"/>
    <x:mergeCell ref="G12:I13"/>
    <x:mergeCell ref="J12:L13"/>
    <x:mergeCell ref="M12:O13"/>
    <x:mergeCell ref="A42:P42"/>
  </x:mergeCells>
  <x:conditionalFormatting sqref="A8">
    <x:cfRule type="cellIs" dxfId="0" priority="2" aboveAverage="0" percent="0" bottom="0" operator="lessThan" text="" rank="0" equalAverage="0">
      <x:formula>0</x:formula>
    </x:cfRule>
  </x:conditionalFormatting>
  <x:conditionalFormatting sqref="D8">
    <x:cfRule type="cellIs" dxfId="0" priority="3" aboveAverage="0" percent="0" bottom="0" operator="lessThan" text="" rank="0" equalAverage="0">
      <x:formula>0</x:formula>
    </x:cfRule>
  </x:conditionalFormatting>
  <x:conditionalFormatting sqref="J12">
    <x:cfRule type="cellIs" dxfId="0" priority="4" aboveAverage="0" percent="0" bottom="0" operator="greaterThan" text="" rank="0" equalAverage="0">
      <x:formula>0</x:formula>
    </x:cfRule>
  </x:conditionalFormatting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  <x: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W155"/>
  <x:sheetViews>
    <x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x:pane xSplit="3" ySplit="3" topLeftCell="D4" activePane="bottomRight" state="frozen"/>
      <x:selection pane="topLeft" activeCell="A1" activeCellId="0" sqref="A1"/>
      <x:selection pane="topRight" activeCell="D1" activeCellId="0" sqref="D1"/>
      <x:selection pane="bottomLeft" activeCell="A4" activeCellId="0" sqref="A4"/>
      <x:selection pane="bottomRight" activeCell="A1" activeCellId="0" sqref="A1"/>
    </x:sheetView>
  </x:sheetViews>
  <x:sheetFormatPr defaultColWidth="8.6796875" defaultRowHeight="15" zeroHeight="false" outlineLevelRow="0" outlineLevelCol="0"/>
  <x:cols>
    <x:col min="1" max="1" width="10" style="0" hidden="false" customWidth="true" outlineLevel="0" collapsed="false"/>
    <x:col min="2" max="2" width="9" style="0" hidden="false" customWidth="true" outlineLevel="0" collapsed="false"/>
    <x:col min="3" max="3" width="11" style="0" hidden="false" customWidth="true" outlineLevel="0" collapsed="false"/>
    <x:col min="4" max="4" width="13" style="0" hidden="false" customWidth="true" outlineLevel="0" collapsed="false"/>
    <x:col min="5" max="6" width="7" style="0" hidden="false" customWidth="true" outlineLevel="0" collapsed="false"/>
    <x:col min="7" max="7" width="8" style="0" hidden="false" customWidth="true" outlineLevel="0" collapsed="false"/>
    <x:col min="8" max="11" width="10" style="0" hidden="false" customWidth="true" outlineLevel="0" collapsed="false"/>
    <x:col min="12" max="12" width="9" style="0" hidden="false" customWidth="true" outlineLevel="0" collapsed="false"/>
    <x:col min="13" max="13" width="12" style="0" hidden="false" customWidth="true" outlineLevel="0" collapsed="false"/>
    <x:col min="14" max="14" width="9" style="0" hidden="false" customWidth="true" outlineLevel="0" collapsed="false"/>
    <x:col min="15" max="15" width="11" style="0" hidden="false" customWidth="true" outlineLevel="0" collapsed="false"/>
    <x:col min="16" max="16" width="12" style="0" hidden="false" customWidth="true" outlineLevel="0" collapsed="false"/>
    <x:col min="17" max="17" width="34" style="0" hidden="false" customWidth="true" outlineLevel="0" collapsed="false"/>
    <x:col min="18" max="18" width="10" style="0" hidden="false" customWidth="true" outlineLevel="0" collapsed="false"/>
    <x:col min="19" max="19" width="11" style="0" hidden="false" customWidth="true" outlineLevel="0" collapsed="false"/>
    <x:col min="20" max="20" width="8" style="0" hidden="false" customWidth="true" outlineLevel="0" collapsed="false"/>
    <x:col min="21" max="21" width="10" style="0" hidden="false" customWidth="true" outlineLevel="0" collapsed="false"/>
    <x:col min="22" max="22" width="13" style="0" hidden="true" customWidth="true" outlineLevel="0" collapsed="false"/>
  </x:cols>
  <x:sheetData>
    <x:row r="1" customFormat="false" ht="24" hidden="false" customHeight="true" outlineLevel="0" collapsed="false">
      <x:c r="A1" s="1" t="s">
        <x:v>43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2"/>
      <x:c r="W1" s="2"/>
    </x:row>
    <x:row r="2" customFormat="false" ht="15" hidden="false" customHeight="false" outlineLevel="0" collapsed="false">
      <x:c r="A2" s="21" t="s">
        <x:v>44</x:v>
      </x:c>
      <x:c r="B2" s="21"/>
      <x:c r="C2" s="21"/>
      <x:c r="D2" s="21"/>
      <x:c r="E2" s="21"/>
      <x:c r="F2" s="21"/>
      <x:c r="G2" s="21"/>
      <x:c r="H2" s="22" t="s">
        <x:v>45</x:v>
      </x:c>
      <x:c r="I2" s="22"/>
      <x:c r="J2" s="22"/>
      <x:c r="K2" s="22"/>
      <x:c r="L2" s="22"/>
      <x:c r="M2" s="22"/>
      <x:c r="N2" s="23" t="s">
        <x:v>46</x:v>
      </x:c>
      <x:c r="O2" s="23"/>
      <x:c r="P2" s="23"/>
      <x:c r="Q2" s="23"/>
      <x:c r="R2" s="24" t="s">
        <x:v>47</x:v>
      </x:c>
      <x:c r="S2" s="24"/>
      <x:c r="T2" s="24"/>
      <x:c r="U2" s="24"/>
      <x:c r="V2" s="2"/>
      <x:c r="W2" s="2"/>
    </x:row>
    <x:row r="3" customFormat="false" ht="31.5" hidden="false" customHeight="true" outlineLevel="0" collapsed="false">
      <x:c r="A3" s="25" t="s">
        <x:v>48</x:v>
      </x:c>
      <x:c r="B3" s="25" t="s">
        <x:v>49</x:v>
      </x:c>
      <x:c r="C3" s="25" t="s">
        <x:v>50</x:v>
      </x:c>
      <x:c r="D3" s="25" t="s">
        <x:v>51</x:v>
      </x:c>
      <x:c r="E3" s="25" t="s">
        <x:v>52</x:v>
      </x:c>
      <x:c r="F3" s="25" t="s">
        <x:v>53</x:v>
      </x:c>
      <x:c r="G3" s="25" t="s">
        <x:v>54</x:v>
      </x:c>
      <x:c r="H3" s="26" t="s">
        <x:v>55</x:v>
      </x:c>
      <x:c r="I3" s="26" t="s">
        <x:v>56</x:v>
      </x:c>
      <x:c r="J3" s="26" t="s">
        <x:v>57</x:v>
      </x:c>
      <x:c r="K3" s="26" t="s">
        <x:v>58</x:v>
      </x:c>
      <x:c r="L3" s="26" t="s">
        <x:v>59</x:v>
      </x:c>
      <x:c r="M3" s="26" t="s">
        <x:v>60</x:v>
      </x:c>
      <x:c r="N3" s="27" t="s">
        <x:v>61</x:v>
      </x:c>
      <x:c r="O3" s="27" t="s">
        <x:v>62</x:v>
      </x:c>
      <x:c r="P3" s="27" t="s">
        <x:v>63</x:v>
      </x:c>
      <x:c r="Q3" s="27" t="s">
        <x:v>64</x:v>
      </x:c>
      <x:c r="R3" s="28" t="s">
        <x:v>65</x:v>
      </x:c>
      <x:c r="S3" s="28" t="s">
        <x:v>66</x:v>
      </x:c>
      <x:c r="T3" s="28" t="s">
        <x:v>67</x:v>
      </x:c>
      <x:c r="U3" s="28" t="s">
        <x:v>68</x:v>
      </x:c>
      <x:c r="V3" s="2"/>
      <x:c r="W3" s="2"/>
    </x:row>
    <x:row r="4" customFormat="false" ht="22.35" hidden="false" customHeight="false" outlineLevel="0" collapsed="false">
      <x:c r="A4" s="29" t="n">
        <x:v>46273</x:v>
      </x:c>
      <x:c r="B4" s="30" t="s">
        <x:v>69</x:v>
      </x:c>
      <x:c r="C4" s="31" t="s">
        <x:v>70</x:v>
      </x:c>
      <x:c r="D4" s="31" t="s">
        <x:v>71</x:v>
      </x:c>
      <x:c r="E4" s="31" t="s">
        <x:v>72</x:v>
      </x:c>
      <x:c r="F4" s="31" t="s">
        <x:v>73</x:v>
      </x:c>
      <x:c r="G4" s="31" t="s">
        <x:v>74</x:v>
      </x:c>
      <x:c r="H4" s="32" t="n">
        <x:v>95240</x:v>
      </x:c>
      <x:c r="I4" s="32" t="n">
        <x:v>94810</x:v>
      </x:c>
      <x:c r="J4" s="32" t="n">
        <x:v>96100</x:v>
      </x:c>
      <x:c r="K4" s="33" t="n">
        <x:v>1.16</x:v>
      </x:c>
      <x:c r="L4" s="34" t="n">
        <x:v>3</x:v>
      </x:c>
      <x:c r="M4" s="31" t="s">
        <x:v>74</x:v>
      </x:c>
      <x:c r="N4" s="35" t="n">
        <x:v>0.42</x:v>
      </x:c>
      <x:c r="O4" s="36" t="n">
        <x:v>2</x:v>
      </x:c>
      <x:c r="P4" s="31" t="s">
        <x:v>74</x:v>
      </x:c>
      <x:c r="Q4" s="37" t="s">
        <x:v>75</x:v>
      </x:c>
      <x:c r="R4" s="38" t="n">
        <x:f aca="false">IF(OR($G4&lt;&gt;"Yes",$H4="",$I4="",$K4=""),"",ABS($H4-$I4)*$K4)</x:f>
        <x:v>498.8</x:v>
      </x:c>
      <x:c r="S4" s="39" t="n">
        <x:f aca="false">IF(OR($G4&lt;&gt;"Yes",$H4="",$J4="",$K4=""),"",IF($F4="Short",$H4-$J4,$J4-$H4)*$K4-($H4+$J4)*$K4*Dashboard!$D$5/100)</x:f>
        <x:v>875.52508</x:v>
      </x:c>
      <x:c r="T4" s="40" t="n">
        <x:f aca="false">IF(OR($S4="",$R4="",$R4=0),"",$S4/$R4)</x:f>
        <x:v>1.75526279069767</x:v>
      </x:c>
      <x:c r="U4" s="41" t="n">
        <x:f aca="false">IF(OR($L4="",$L4=0,$H4="",$I4=""),"",((100/$L4)-1)/(ABS($H4-$I4)/$H4*100))</x:f>
        <x:v>71.6145736434109</x:v>
      </x:c>
      <x:c r="V4" s="42" t="n">
        <x:f aca="false">IFERROR(VALUE(LEFT($B4,2)),"")</x:f>
        <x:v>14</x:v>
      </x:c>
      <x:c r="W4" s="2"/>
    </x:row>
    <x:row r="5" customFormat="false" ht="15" hidden="false" customHeight="false" outlineLevel="0" collapsed="false">
      <x:c r="A5" s="43"/>
      <x:c r="B5" s="44"/>
      <x:c r="C5" s="45"/>
      <x:c r="D5" s="45"/>
      <x:c r="E5" s="45"/>
      <x:c r="F5" s="45"/>
      <x:c r="G5" s="45"/>
      <x:c r="H5" s="46"/>
      <x:c r="I5" s="46"/>
      <x:c r="J5" s="46"/>
      <x:c r="K5" s="47"/>
      <x:c r="L5" s="48"/>
      <x:c r="M5" s="45"/>
      <x:c r="N5" s="49"/>
      <x:c r="O5" s="50"/>
      <x:c r="P5" s="51"/>
      <x:c r="Q5" s="52"/>
      <x:c r="R5" s="38" t="str">
        <x:f aca="false">IF(OR($G5&lt;&gt;"Yes",$H5="",$I5="",$K5=""),"",ABS($H5-$I5)*$K5)</x:f>
        <x:v/>
      </x:c>
      <x:c r="S5" s="39" t="str">
        <x:f aca="false">IF(OR($G5&lt;&gt;"Yes",$H5="",$J5="",$K5=""),"",IF($F5="Short",$H5-$J5,$J5-$H5)*$K5-($H5+$J5)*$K5*Dashboard!$D$5/100)</x:f>
        <x:v/>
      </x:c>
      <x:c r="T5" s="40" t="str">
        <x:f aca="false">IF(OR($S5="",$R5="",$R5=0),"",$S5/$R5)</x:f>
        <x:v/>
      </x:c>
      <x:c r="U5" s="41" t="str">
        <x:f aca="false">IF(OR($L5="",$L5=0,$H5="",$I5=""),"",((100/$L5)-1)/(ABS($H5-$I5)/$H5*100))</x:f>
        <x:v/>
      </x:c>
      <x:c r="V5" s="42" t="str">
        <x:f aca="false">IFERROR(VALUE(LEFT($B5,2)),"")</x:f>
        <x:v/>
      </x:c>
      <x:c r="W5" s="2"/>
    </x:row>
    <x:row r="6" customFormat="false" ht="15" hidden="false" customHeight="false" outlineLevel="0" collapsed="false">
      <x:c r="A6" s="43"/>
      <x:c r="B6" s="44"/>
      <x:c r="C6" s="45"/>
      <x:c r="D6" s="45"/>
      <x:c r="E6" s="45"/>
      <x:c r="F6" s="45"/>
      <x:c r="G6" s="45"/>
      <x:c r="H6" s="46"/>
      <x:c r="I6" s="46"/>
      <x:c r="J6" s="46"/>
      <x:c r="K6" s="47"/>
      <x:c r="L6" s="48"/>
      <x:c r="M6" s="45"/>
      <x:c r="N6" s="49"/>
      <x:c r="O6" s="50"/>
      <x:c r="P6" s="51"/>
      <x:c r="Q6" s="52"/>
      <x:c r="R6" s="38" t="str">
        <x:f aca="false">IF(OR($G6&lt;&gt;"Yes",$H6="",$I6="",$K6=""),"",ABS($H6-$I6)*$K6)</x:f>
        <x:v/>
      </x:c>
      <x:c r="S6" s="39" t="str">
        <x:f aca="false">IF(OR($G6&lt;&gt;"Yes",$H6="",$J6="",$K6=""),"",IF($F6="Short",$H6-$J6,$J6-$H6)*$K6-($H6+$J6)*$K6*Dashboard!$D$5/100)</x:f>
        <x:v/>
      </x:c>
      <x:c r="T6" s="40" t="str">
        <x:f aca="false">IF(OR($S6="",$R6="",$R6=0),"",$S6/$R6)</x:f>
        <x:v/>
      </x:c>
      <x:c r="U6" s="41" t="str">
        <x:f aca="false">IF(OR($L6="",$L6=0,$H6="",$I6=""),"",((100/$L6)-1)/(ABS($H6-$I6)/$H6*100))</x:f>
        <x:v/>
      </x:c>
      <x:c r="V6" s="42" t="str">
        <x:f aca="false">IFERROR(VALUE(LEFT($B6,2)),"")</x:f>
        <x:v/>
      </x:c>
      <x:c r="W6" s="2"/>
    </x:row>
    <x:row r="7" customFormat="false" ht="15" hidden="false" customHeight="false" outlineLevel="0" collapsed="false">
      <x:c r="A7" s="43"/>
      <x:c r="B7" s="44"/>
      <x:c r="C7" s="45"/>
      <x:c r="D7" s="45"/>
      <x:c r="E7" s="45"/>
      <x:c r="F7" s="45"/>
      <x:c r="G7" s="45"/>
      <x:c r="H7" s="46"/>
      <x:c r="I7" s="46"/>
      <x:c r="J7" s="46"/>
      <x:c r="K7" s="47"/>
      <x:c r="L7" s="48"/>
      <x:c r="M7" s="45"/>
      <x:c r="N7" s="49"/>
      <x:c r="O7" s="50"/>
      <x:c r="P7" s="51"/>
      <x:c r="Q7" s="52"/>
      <x:c r="R7" s="38" t="str">
        <x:f aca="false">IF(OR($G7&lt;&gt;"Yes",$H7="",$I7="",$K7=""),"",ABS($H7-$I7)*$K7)</x:f>
        <x:v/>
      </x:c>
      <x:c r="S7" s="39" t="str">
        <x:f aca="false">IF(OR($G7&lt;&gt;"Yes",$H7="",$J7="",$K7=""),"",IF($F7="Short",$H7-$J7,$J7-$H7)*$K7-($H7+$J7)*$K7*Dashboard!$D$5/100)</x:f>
        <x:v/>
      </x:c>
      <x:c r="T7" s="40" t="str">
        <x:f aca="false">IF(OR($S7="",$R7="",$R7=0),"",$S7/$R7)</x:f>
        <x:v/>
      </x:c>
      <x:c r="U7" s="41" t="str">
        <x:f aca="false">IF(OR($L7="",$L7=0,$H7="",$I7=""),"",((100/$L7)-1)/(ABS($H7-$I7)/$H7*100))</x:f>
        <x:v/>
      </x:c>
      <x:c r="V7" s="42" t="str">
        <x:f aca="false">IFERROR(VALUE(LEFT($B7,2)),"")</x:f>
        <x:v/>
      </x:c>
      <x:c r="W7" s="2"/>
    </x:row>
    <x:row r="8" customFormat="false" ht="15" hidden="false" customHeight="false" outlineLevel="0" collapsed="false">
      <x:c r="A8" s="43"/>
      <x:c r="B8" s="44"/>
      <x:c r="C8" s="45"/>
      <x:c r="D8" s="45"/>
      <x:c r="E8" s="45"/>
      <x:c r="F8" s="45"/>
      <x:c r="G8" s="45"/>
      <x:c r="H8" s="46"/>
      <x:c r="I8" s="46"/>
      <x:c r="J8" s="46"/>
      <x:c r="K8" s="47"/>
      <x:c r="L8" s="48"/>
      <x:c r="M8" s="45"/>
      <x:c r="N8" s="49"/>
      <x:c r="O8" s="50"/>
      <x:c r="P8" s="51"/>
      <x:c r="Q8" s="52"/>
      <x:c r="R8" s="38" t="str">
        <x:f aca="false">IF(OR($G8&lt;&gt;"Yes",$H8="",$I8="",$K8=""),"",ABS($H8-$I8)*$K8)</x:f>
        <x:v/>
      </x:c>
      <x:c r="S8" s="39" t="str">
        <x:f aca="false">IF(OR($G8&lt;&gt;"Yes",$H8="",$J8="",$K8=""),"",IF($F8="Short",$H8-$J8,$J8-$H8)*$K8-($H8+$J8)*$K8*Dashboard!$D$5/100)</x:f>
        <x:v/>
      </x:c>
      <x:c r="T8" s="40" t="str">
        <x:f aca="false">IF(OR($S8="",$R8="",$R8=0),"",$S8/$R8)</x:f>
        <x:v/>
      </x:c>
      <x:c r="U8" s="41" t="str">
        <x:f aca="false">IF(OR($L8="",$L8=0,$H8="",$I8=""),"",((100/$L8)-1)/(ABS($H8-$I8)/$H8*100))</x:f>
        <x:v/>
      </x:c>
      <x:c r="V8" s="42" t="str">
        <x:f aca="false">IFERROR(VALUE(LEFT($B8,2)),"")</x:f>
        <x:v/>
      </x:c>
      <x:c r="W8" s="2"/>
    </x:row>
    <x:row r="9" customFormat="false" ht="15" hidden="false" customHeight="false" outlineLevel="0" collapsed="false">
      <x:c r="A9" s="43"/>
      <x:c r="B9" s="44"/>
      <x:c r="C9" s="45"/>
      <x:c r="D9" s="45"/>
      <x:c r="E9" s="45"/>
      <x:c r="F9" s="45"/>
      <x:c r="G9" s="45"/>
      <x:c r="H9" s="46"/>
      <x:c r="I9" s="46"/>
      <x:c r="J9" s="46"/>
      <x:c r="K9" s="47"/>
      <x:c r="L9" s="48"/>
      <x:c r="M9" s="45"/>
      <x:c r="N9" s="49"/>
      <x:c r="O9" s="50"/>
      <x:c r="P9" s="51"/>
      <x:c r="Q9" s="52"/>
      <x:c r="R9" s="38" t="str">
        <x:f aca="false">IF(OR($G9&lt;&gt;"Yes",$H9="",$I9="",$K9=""),"",ABS($H9-$I9)*$K9)</x:f>
        <x:v/>
      </x:c>
      <x:c r="S9" s="39" t="str">
        <x:f aca="false">IF(OR($G9&lt;&gt;"Yes",$H9="",$J9="",$K9=""),"",IF($F9="Short",$H9-$J9,$J9-$H9)*$K9-($H9+$J9)*$K9*Dashboard!$D$5/100)</x:f>
        <x:v/>
      </x:c>
      <x:c r="T9" s="40" t="str">
        <x:f aca="false">IF(OR($S9="",$R9="",$R9=0),"",$S9/$R9)</x:f>
        <x:v/>
      </x:c>
      <x:c r="U9" s="41" t="str">
        <x:f aca="false">IF(OR($L9="",$L9=0,$H9="",$I9=""),"",((100/$L9)-1)/(ABS($H9-$I9)/$H9*100))</x:f>
        <x:v/>
      </x:c>
      <x:c r="V9" s="42" t="str">
        <x:f aca="false">IFERROR(VALUE(LEFT($B9,2)),"")</x:f>
        <x:v/>
      </x:c>
      <x:c r="W9" s="2"/>
    </x:row>
    <x:row r="10" customFormat="false" ht="15" hidden="false" customHeight="false" outlineLevel="0" collapsed="false">
      <x:c r="A10" s="43"/>
      <x:c r="B10" s="44"/>
      <x:c r="C10" s="45"/>
      <x:c r="D10" s="45"/>
      <x:c r="E10" s="45"/>
      <x:c r="F10" s="45"/>
      <x:c r="G10" s="45"/>
      <x:c r="H10" s="46"/>
      <x:c r="I10" s="46"/>
      <x:c r="J10" s="46"/>
      <x:c r="K10" s="47"/>
      <x:c r="L10" s="48"/>
      <x:c r="M10" s="45"/>
      <x:c r="N10" s="49"/>
      <x:c r="O10" s="50"/>
      <x:c r="P10" s="51"/>
      <x:c r="Q10" s="52"/>
      <x:c r="R10" s="38" t="str">
        <x:f aca="false">IF(OR($G10&lt;&gt;"Yes",$H10="",$I10="",$K10=""),"",ABS($H10-$I10)*$K10)</x:f>
        <x:v/>
      </x:c>
      <x:c r="S10" s="39" t="str">
        <x:f aca="false">IF(OR($G10&lt;&gt;"Yes",$H10="",$J10="",$K10=""),"",IF($F10="Short",$H10-$J10,$J10-$H10)*$K10-($H10+$J10)*$K10*Dashboard!$D$5/100)</x:f>
        <x:v/>
      </x:c>
      <x:c r="T10" s="40" t="str">
        <x:f aca="false">IF(OR($S10="",$R10="",$R10=0),"",$S10/$R10)</x:f>
        <x:v/>
      </x:c>
      <x:c r="U10" s="41" t="str">
        <x:f aca="false">IF(OR($L10="",$L10=0,$H10="",$I10=""),"",((100/$L10)-1)/(ABS($H10-$I10)/$H10*100))</x:f>
        <x:v/>
      </x:c>
      <x:c r="V10" s="42" t="str">
        <x:f aca="false">IFERROR(VALUE(LEFT($B10,2)),"")</x:f>
        <x:v/>
      </x:c>
      <x:c r="W10" s="2"/>
    </x:row>
    <x:row r="11" customFormat="false" ht="15" hidden="false" customHeight="false" outlineLevel="0" collapsed="false">
      <x:c r="A11" s="43"/>
      <x:c r="B11" s="44"/>
      <x:c r="C11" s="45"/>
      <x:c r="D11" s="45"/>
      <x:c r="E11" s="45"/>
      <x:c r="F11" s="45"/>
      <x:c r="G11" s="45"/>
      <x:c r="H11" s="46"/>
      <x:c r="I11" s="46"/>
      <x:c r="J11" s="46"/>
      <x:c r="K11" s="47"/>
      <x:c r="L11" s="48"/>
      <x:c r="M11" s="45"/>
      <x:c r="N11" s="49"/>
      <x:c r="O11" s="50"/>
      <x:c r="P11" s="51"/>
      <x:c r="Q11" s="52"/>
      <x:c r="R11" s="38" t="str">
        <x:f aca="false">IF(OR($G11&lt;&gt;"Yes",$H11="",$I11="",$K11=""),"",ABS($H11-$I11)*$K11)</x:f>
        <x:v/>
      </x:c>
      <x:c r="S11" s="39" t="str">
        <x:f aca="false">IF(OR($G11&lt;&gt;"Yes",$H11="",$J11="",$K11=""),"",IF($F11="Short",$H11-$J11,$J11-$H11)*$K11-($H11+$J11)*$K11*Dashboard!$D$5/100)</x:f>
        <x:v/>
      </x:c>
      <x:c r="T11" s="40" t="str">
        <x:f aca="false">IF(OR($S11="",$R11="",$R11=0),"",$S11/$R11)</x:f>
        <x:v/>
      </x:c>
      <x:c r="U11" s="41" t="str">
        <x:f aca="false">IF(OR($L11="",$L11=0,$H11="",$I11=""),"",((100/$L11)-1)/(ABS($H11-$I11)/$H11*100))</x:f>
        <x:v/>
      </x:c>
      <x:c r="V11" s="42" t="str">
        <x:f aca="false">IFERROR(VALUE(LEFT($B11,2)),"")</x:f>
        <x:v/>
      </x:c>
      <x:c r="W11" s="2"/>
    </x:row>
    <x:row r="12" customFormat="false" ht="15" hidden="false" customHeight="false" outlineLevel="0" collapsed="false">
      <x:c r="A12" s="43"/>
      <x:c r="B12" s="44"/>
      <x:c r="C12" s="45"/>
      <x:c r="D12" s="45"/>
      <x:c r="E12" s="45"/>
      <x:c r="F12" s="45"/>
      <x:c r="G12" s="45"/>
      <x:c r="H12" s="46"/>
      <x:c r="I12" s="46"/>
      <x:c r="J12" s="46"/>
      <x:c r="K12" s="47"/>
      <x:c r="L12" s="48"/>
      <x:c r="M12" s="45"/>
      <x:c r="N12" s="49"/>
      <x:c r="O12" s="50"/>
      <x:c r="P12" s="51"/>
      <x:c r="Q12" s="52"/>
      <x:c r="R12" s="38" t="str">
        <x:f aca="false">IF(OR($G12&lt;&gt;"Yes",$H12="",$I12="",$K12=""),"",ABS($H12-$I12)*$K12)</x:f>
        <x:v/>
      </x:c>
      <x:c r="S12" s="39" t="str">
        <x:f aca="false">IF(OR($G12&lt;&gt;"Yes",$H12="",$J12="",$K12=""),"",IF($F12="Short",$H12-$J12,$J12-$H12)*$K12-($H12+$J12)*$K12*Dashboard!$D$5/100)</x:f>
        <x:v/>
      </x:c>
      <x:c r="T12" s="40" t="str">
        <x:f aca="false">IF(OR($S12="",$R12="",$R12=0),"",$S12/$R12)</x:f>
        <x:v/>
      </x:c>
      <x:c r="U12" s="41" t="str">
        <x:f aca="false">IF(OR($L12="",$L12=0,$H12="",$I12=""),"",((100/$L12)-1)/(ABS($H12-$I12)/$H12*100))</x:f>
        <x:v/>
      </x:c>
      <x:c r="V12" s="42" t="str">
        <x:f aca="false">IFERROR(VALUE(LEFT($B12,2)),"")</x:f>
        <x:v/>
      </x:c>
      <x:c r="W12" s="2"/>
    </x:row>
    <x:row r="13" customFormat="false" ht="15" hidden="false" customHeight="false" outlineLevel="0" collapsed="false">
      <x:c r="A13" s="43"/>
      <x:c r="B13" s="44"/>
      <x:c r="C13" s="45"/>
      <x:c r="D13" s="45"/>
      <x:c r="E13" s="45"/>
      <x:c r="F13" s="45"/>
      <x:c r="G13" s="45"/>
      <x:c r="H13" s="46"/>
      <x:c r="I13" s="46"/>
      <x:c r="J13" s="46"/>
      <x:c r="K13" s="47"/>
      <x:c r="L13" s="48"/>
      <x:c r="M13" s="45"/>
      <x:c r="N13" s="49"/>
      <x:c r="O13" s="50"/>
      <x:c r="P13" s="51"/>
      <x:c r="Q13" s="52"/>
      <x:c r="R13" s="38" t="str">
        <x:f aca="false">IF(OR($G13&lt;&gt;"Yes",$H13="",$I13="",$K13=""),"",ABS($H13-$I13)*$K13)</x:f>
        <x:v/>
      </x:c>
      <x:c r="S13" s="39" t="str">
        <x:f aca="false">IF(OR($G13&lt;&gt;"Yes",$H13="",$J13="",$K13=""),"",IF($F13="Short",$H13-$J13,$J13-$H13)*$K13-($H13+$J13)*$K13*Dashboard!$D$5/100)</x:f>
        <x:v/>
      </x:c>
      <x:c r="T13" s="40" t="str">
        <x:f aca="false">IF(OR($S13="",$R13="",$R13=0),"",$S13/$R13)</x:f>
        <x:v/>
      </x:c>
      <x:c r="U13" s="41" t="str">
        <x:f aca="false">IF(OR($L13="",$L13=0,$H13="",$I13=""),"",((100/$L13)-1)/(ABS($H13-$I13)/$H13*100))</x:f>
        <x:v/>
      </x:c>
      <x:c r="V13" s="42" t="str">
        <x:f aca="false">IFERROR(VALUE(LEFT($B13,2)),"")</x:f>
        <x:v/>
      </x:c>
      <x:c r="W13" s="2"/>
    </x:row>
    <x:row r="14" customFormat="false" ht="15" hidden="false" customHeight="false" outlineLevel="0" collapsed="false">
      <x:c r="A14" s="43"/>
      <x:c r="B14" s="44"/>
      <x:c r="C14" s="45"/>
      <x:c r="D14" s="45"/>
      <x:c r="E14" s="45"/>
      <x:c r="F14" s="45"/>
      <x:c r="G14" s="45"/>
      <x:c r="H14" s="46"/>
      <x:c r="I14" s="46"/>
      <x:c r="J14" s="46"/>
      <x:c r="K14" s="47"/>
      <x:c r="L14" s="48"/>
      <x:c r="M14" s="45"/>
      <x:c r="N14" s="49"/>
      <x:c r="O14" s="50"/>
      <x:c r="P14" s="51"/>
      <x:c r="Q14" s="52"/>
      <x:c r="R14" s="38" t="str">
        <x:f aca="false">IF(OR($G14&lt;&gt;"Yes",$H14="",$I14="",$K14=""),"",ABS($H14-$I14)*$K14)</x:f>
        <x:v/>
      </x:c>
      <x:c r="S14" s="39" t="str">
        <x:f aca="false">IF(OR($G14&lt;&gt;"Yes",$H14="",$J14="",$K14=""),"",IF($F14="Short",$H14-$J14,$J14-$H14)*$K14-($H14+$J14)*$K14*Dashboard!$D$5/100)</x:f>
        <x:v/>
      </x:c>
      <x:c r="T14" s="40" t="str">
        <x:f aca="false">IF(OR($S14="",$R14="",$R14=0),"",$S14/$R14)</x:f>
        <x:v/>
      </x:c>
      <x:c r="U14" s="41" t="str">
        <x:f aca="false">IF(OR($L14="",$L14=0,$H14="",$I14=""),"",((100/$L14)-1)/(ABS($H14-$I14)/$H14*100))</x:f>
        <x:v/>
      </x:c>
      <x:c r="V14" s="42" t="str">
        <x:f aca="false">IFERROR(VALUE(LEFT($B14,2)),"")</x:f>
        <x:v/>
      </x:c>
      <x:c r="W14" s="2"/>
    </x:row>
    <x:row r="15" customFormat="false" ht="15" hidden="false" customHeight="false" outlineLevel="0" collapsed="false">
      <x:c r="A15" s="43"/>
      <x:c r="B15" s="44"/>
      <x:c r="C15" s="45"/>
      <x:c r="D15" s="45"/>
      <x:c r="E15" s="45"/>
      <x:c r="F15" s="45"/>
      <x:c r="G15" s="45"/>
      <x:c r="H15" s="46"/>
      <x:c r="I15" s="46"/>
      <x:c r="J15" s="46"/>
      <x:c r="K15" s="47"/>
      <x:c r="L15" s="48"/>
      <x:c r="M15" s="45"/>
      <x:c r="N15" s="49"/>
      <x:c r="O15" s="50"/>
      <x:c r="P15" s="51"/>
      <x:c r="Q15" s="52"/>
      <x:c r="R15" s="38" t="str">
        <x:f aca="false">IF(OR($G15&lt;&gt;"Yes",$H15="",$I15="",$K15=""),"",ABS($H15-$I15)*$K15)</x:f>
        <x:v/>
      </x:c>
      <x:c r="S15" s="39" t="str">
        <x:f aca="false">IF(OR($G15&lt;&gt;"Yes",$H15="",$J15="",$K15=""),"",IF($F15="Short",$H15-$J15,$J15-$H15)*$K15-($H15+$J15)*$K15*Dashboard!$D$5/100)</x:f>
        <x:v/>
      </x:c>
      <x:c r="T15" s="40" t="str">
        <x:f aca="false">IF(OR($S15="",$R15="",$R15=0),"",$S15/$R15)</x:f>
        <x:v/>
      </x:c>
      <x:c r="U15" s="41" t="str">
        <x:f aca="false">IF(OR($L15="",$L15=0,$H15="",$I15=""),"",((100/$L15)-1)/(ABS($H15-$I15)/$H15*100))</x:f>
        <x:v/>
      </x:c>
      <x:c r="V15" s="42" t="str">
        <x:f aca="false">IFERROR(VALUE(LEFT($B15,2)),"")</x:f>
        <x:v/>
      </x:c>
      <x:c r="W15" s="2"/>
    </x:row>
    <x:row r="16" customFormat="false" ht="15" hidden="false" customHeight="false" outlineLevel="0" collapsed="false">
      <x:c r="A16" s="43"/>
      <x:c r="B16" s="44"/>
      <x:c r="C16" s="45"/>
      <x:c r="D16" s="45"/>
      <x:c r="E16" s="45"/>
      <x:c r="F16" s="45"/>
      <x:c r="G16" s="45"/>
      <x:c r="H16" s="46"/>
      <x:c r="I16" s="46"/>
      <x:c r="J16" s="46"/>
      <x:c r="K16" s="47"/>
      <x:c r="L16" s="48"/>
      <x:c r="M16" s="45"/>
      <x:c r="N16" s="49"/>
      <x:c r="O16" s="50"/>
      <x:c r="P16" s="51"/>
      <x:c r="Q16" s="52"/>
      <x:c r="R16" s="38" t="str">
        <x:f aca="false">IF(OR($G16&lt;&gt;"Yes",$H16="",$I16="",$K16=""),"",ABS($H16-$I16)*$K16)</x:f>
        <x:v/>
      </x:c>
      <x:c r="S16" s="39" t="str">
        <x:f aca="false">IF(OR($G16&lt;&gt;"Yes",$H16="",$J16="",$K16=""),"",IF($F16="Short",$H16-$J16,$J16-$H16)*$K16-($H16+$J16)*$K16*Dashboard!$D$5/100)</x:f>
        <x:v/>
      </x:c>
      <x:c r="T16" s="40" t="str">
        <x:f aca="false">IF(OR($S16="",$R16="",$R16=0),"",$S16/$R16)</x:f>
        <x:v/>
      </x:c>
      <x:c r="U16" s="41" t="str">
        <x:f aca="false">IF(OR($L16="",$L16=0,$H16="",$I16=""),"",((100/$L16)-1)/(ABS($H16-$I16)/$H16*100))</x:f>
        <x:v/>
      </x:c>
      <x:c r="V16" s="42" t="str">
        <x:f aca="false">IFERROR(VALUE(LEFT($B16,2)),"")</x:f>
        <x:v/>
      </x:c>
      <x:c r="W16" s="2"/>
    </x:row>
    <x:row r="17" customFormat="false" ht="15" hidden="false" customHeight="false" outlineLevel="0" collapsed="false">
      <x:c r="A17" s="43"/>
      <x:c r="B17" s="44"/>
      <x:c r="C17" s="45"/>
      <x:c r="D17" s="45"/>
      <x:c r="E17" s="45"/>
      <x:c r="F17" s="45"/>
      <x:c r="G17" s="45"/>
      <x:c r="H17" s="46"/>
      <x:c r="I17" s="46"/>
      <x:c r="J17" s="46"/>
      <x:c r="K17" s="47"/>
      <x:c r="L17" s="48"/>
      <x:c r="M17" s="45"/>
      <x:c r="N17" s="49"/>
      <x:c r="O17" s="50"/>
      <x:c r="P17" s="51"/>
      <x:c r="Q17" s="52"/>
      <x:c r="R17" s="38" t="str">
        <x:f aca="false">IF(OR($G17&lt;&gt;"Yes",$H17="",$I17="",$K17=""),"",ABS($H17-$I17)*$K17)</x:f>
        <x:v/>
      </x:c>
      <x:c r="S17" s="39" t="str">
        <x:f aca="false">IF(OR($G17&lt;&gt;"Yes",$H17="",$J17="",$K17=""),"",IF($F17="Short",$H17-$J17,$J17-$H17)*$K17-($H17+$J17)*$K17*Dashboard!$D$5/100)</x:f>
        <x:v/>
      </x:c>
      <x:c r="T17" s="40" t="str">
        <x:f aca="false">IF(OR($S17="",$R17="",$R17=0),"",$S17/$R17)</x:f>
        <x:v/>
      </x:c>
      <x:c r="U17" s="41" t="str">
        <x:f aca="false">IF(OR($L17="",$L17=0,$H17="",$I17=""),"",((100/$L17)-1)/(ABS($H17-$I17)/$H17*100))</x:f>
        <x:v/>
      </x:c>
      <x:c r="V17" s="42" t="str">
        <x:f aca="false">IFERROR(VALUE(LEFT($B17,2)),"")</x:f>
        <x:v/>
      </x:c>
      <x:c r="W17" s="2"/>
    </x:row>
    <x:row r="18" customFormat="false" ht="15" hidden="false" customHeight="false" outlineLevel="0" collapsed="false">
      <x:c r="A18" s="43"/>
      <x:c r="B18" s="44"/>
      <x:c r="C18" s="45"/>
      <x:c r="D18" s="45"/>
      <x:c r="E18" s="45"/>
      <x:c r="F18" s="45"/>
      <x:c r="G18" s="45"/>
      <x:c r="H18" s="46"/>
      <x:c r="I18" s="46"/>
      <x:c r="J18" s="46"/>
      <x:c r="K18" s="47"/>
      <x:c r="L18" s="48"/>
      <x:c r="M18" s="45"/>
      <x:c r="N18" s="49"/>
      <x:c r="O18" s="50"/>
      <x:c r="P18" s="51"/>
      <x:c r="Q18" s="52"/>
      <x:c r="R18" s="38" t="str">
        <x:f aca="false">IF(OR($G18&lt;&gt;"Yes",$H18="",$I18="",$K18=""),"",ABS($H18-$I18)*$K18)</x:f>
        <x:v/>
      </x:c>
      <x:c r="S18" s="39" t="str">
        <x:f aca="false">IF(OR($G18&lt;&gt;"Yes",$H18="",$J18="",$K18=""),"",IF($F18="Short",$H18-$J18,$J18-$H18)*$K18-($H18+$J18)*$K18*Dashboard!$D$5/100)</x:f>
        <x:v/>
      </x:c>
      <x:c r="T18" s="40" t="str">
        <x:f aca="false">IF(OR($S18="",$R18="",$R18=0),"",$S18/$R18)</x:f>
        <x:v/>
      </x:c>
      <x:c r="U18" s="41" t="str">
        <x:f aca="false">IF(OR($L18="",$L18=0,$H18="",$I18=""),"",((100/$L18)-1)/(ABS($H18-$I18)/$H18*100))</x:f>
        <x:v/>
      </x:c>
      <x:c r="V18" s="42" t="str">
        <x:f aca="false">IFERROR(VALUE(LEFT($B18,2)),"")</x:f>
        <x:v/>
      </x:c>
      <x:c r="W18" s="2"/>
    </x:row>
    <x:row r="19" customFormat="false" ht="15" hidden="false" customHeight="false" outlineLevel="0" collapsed="false">
      <x:c r="A19" s="43"/>
      <x:c r="B19" s="44"/>
      <x:c r="C19" s="45"/>
      <x:c r="D19" s="45"/>
      <x:c r="E19" s="45"/>
      <x:c r="F19" s="45"/>
      <x:c r="G19" s="45"/>
      <x:c r="H19" s="46"/>
      <x:c r="I19" s="46"/>
      <x:c r="J19" s="46"/>
      <x:c r="K19" s="47"/>
      <x:c r="L19" s="48"/>
      <x:c r="M19" s="45"/>
      <x:c r="N19" s="49"/>
      <x:c r="O19" s="50"/>
      <x:c r="P19" s="51"/>
      <x:c r="Q19" s="52"/>
      <x:c r="R19" s="38" t="str">
        <x:f aca="false">IF(OR($G19&lt;&gt;"Yes",$H19="",$I19="",$K19=""),"",ABS($H19-$I19)*$K19)</x:f>
        <x:v/>
      </x:c>
      <x:c r="S19" s="39" t="str">
        <x:f aca="false">IF(OR($G19&lt;&gt;"Yes",$H19="",$J19="",$K19=""),"",IF($F19="Short",$H19-$J19,$J19-$H19)*$K19-($H19+$J19)*$K19*Dashboard!$D$5/100)</x:f>
        <x:v/>
      </x:c>
      <x:c r="T19" s="40" t="str">
        <x:f aca="false">IF(OR($S19="",$R19="",$R19=0),"",$S19/$R19)</x:f>
        <x:v/>
      </x:c>
      <x:c r="U19" s="41" t="str">
        <x:f aca="false">IF(OR($L19="",$L19=0,$H19="",$I19=""),"",((100/$L19)-1)/(ABS($H19-$I19)/$H19*100))</x:f>
        <x:v/>
      </x:c>
      <x:c r="V19" s="42" t="str">
        <x:f aca="false">IFERROR(VALUE(LEFT($B19,2)),"")</x:f>
        <x:v/>
      </x:c>
      <x:c r="W19" s="2"/>
    </x:row>
    <x:row r="20" customFormat="false" ht="15" hidden="false" customHeight="false" outlineLevel="0" collapsed="false">
      <x:c r="A20" s="43"/>
      <x:c r="B20" s="44"/>
      <x:c r="C20" s="45"/>
      <x:c r="D20" s="45"/>
      <x:c r="E20" s="45"/>
      <x:c r="F20" s="45"/>
      <x:c r="G20" s="45"/>
      <x:c r="H20" s="46"/>
      <x:c r="I20" s="46"/>
      <x:c r="J20" s="46"/>
      <x:c r="K20" s="47"/>
      <x:c r="L20" s="48"/>
      <x:c r="M20" s="45"/>
      <x:c r="N20" s="49"/>
      <x:c r="O20" s="50"/>
      <x:c r="P20" s="51"/>
      <x:c r="Q20" s="52"/>
      <x:c r="R20" s="38" t="str">
        <x:f aca="false">IF(OR($G20&lt;&gt;"Yes",$H20="",$I20="",$K20=""),"",ABS($H20-$I20)*$K20)</x:f>
        <x:v/>
      </x:c>
      <x:c r="S20" s="39" t="str">
        <x:f aca="false">IF(OR($G20&lt;&gt;"Yes",$H20="",$J20="",$K20=""),"",IF($F20="Short",$H20-$J20,$J20-$H20)*$K20-($H20+$J20)*$K20*Dashboard!$D$5/100)</x:f>
        <x:v/>
      </x:c>
      <x:c r="T20" s="40" t="str">
        <x:f aca="false">IF(OR($S20="",$R20="",$R20=0),"",$S20/$R20)</x:f>
        <x:v/>
      </x:c>
      <x:c r="U20" s="41" t="str">
        <x:f aca="false">IF(OR($L20="",$L20=0,$H20="",$I20=""),"",((100/$L20)-1)/(ABS($H20-$I20)/$H20*100))</x:f>
        <x:v/>
      </x:c>
      <x:c r="V20" s="42" t="str">
        <x:f aca="false">IFERROR(VALUE(LEFT($B20,2)),"")</x:f>
        <x:v/>
      </x:c>
      <x:c r="W20" s="2"/>
    </x:row>
    <x:row r="21" customFormat="false" ht="15" hidden="false" customHeight="false" outlineLevel="0" collapsed="false">
      <x:c r="A21" s="43"/>
      <x:c r="B21" s="44"/>
      <x:c r="C21" s="45"/>
      <x:c r="D21" s="45"/>
      <x:c r="E21" s="45"/>
      <x:c r="F21" s="45"/>
      <x:c r="G21" s="45"/>
      <x:c r="H21" s="46"/>
      <x:c r="I21" s="46"/>
      <x:c r="J21" s="46"/>
      <x:c r="K21" s="47"/>
      <x:c r="L21" s="48"/>
      <x:c r="M21" s="45"/>
      <x:c r="N21" s="49"/>
      <x:c r="O21" s="50"/>
      <x:c r="P21" s="51"/>
      <x:c r="Q21" s="52"/>
      <x:c r="R21" s="38" t="str">
        <x:f aca="false">IF(OR($G21&lt;&gt;"Yes",$H21="",$I21="",$K21=""),"",ABS($H21-$I21)*$K21)</x:f>
        <x:v/>
      </x:c>
      <x:c r="S21" s="39" t="str">
        <x:f aca="false">IF(OR($G21&lt;&gt;"Yes",$H21="",$J21="",$K21=""),"",IF($F21="Short",$H21-$J21,$J21-$H21)*$K21-($H21+$J21)*$K21*Dashboard!$D$5/100)</x:f>
        <x:v/>
      </x:c>
      <x:c r="T21" s="40" t="str">
        <x:f aca="false">IF(OR($S21="",$R21="",$R21=0),"",$S21/$R21)</x:f>
        <x:v/>
      </x:c>
      <x:c r="U21" s="41" t="str">
        <x:f aca="false">IF(OR($L21="",$L21=0,$H21="",$I21=""),"",((100/$L21)-1)/(ABS($H21-$I21)/$H21*100))</x:f>
        <x:v/>
      </x:c>
      <x:c r="V21" s="42" t="str">
        <x:f aca="false">IFERROR(VALUE(LEFT($B21,2)),"")</x:f>
        <x:v/>
      </x:c>
      <x:c r="W21" s="2"/>
    </x:row>
    <x:row r="22" customFormat="false" ht="15" hidden="false" customHeight="false" outlineLevel="0" collapsed="false">
      <x:c r="A22" s="43"/>
      <x:c r="B22" s="44"/>
      <x:c r="C22" s="45"/>
      <x:c r="D22" s="45"/>
      <x:c r="E22" s="45"/>
      <x:c r="F22" s="45"/>
      <x:c r="G22" s="45"/>
      <x:c r="H22" s="46"/>
      <x:c r="I22" s="46"/>
      <x:c r="J22" s="46"/>
      <x:c r="K22" s="47"/>
      <x:c r="L22" s="48"/>
      <x:c r="M22" s="45"/>
      <x:c r="N22" s="49"/>
      <x:c r="O22" s="50"/>
      <x:c r="P22" s="51"/>
      <x:c r="Q22" s="52"/>
      <x:c r="R22" s="38" t="str">
        <x:f aca="false">IF(OR($G22&lt;&gt;"Yes",$H22="",$I22="",$K22=""),"",ABS($H22-$I22)*$K22)</x:f>
        <x:v/>
      </x:c>
      <x:c r="S22" s="39" t="str">
        <x:f aca="false">IF(OR($G22&lt;&gt;"Yes",$H22="",$J22="",$K22=""),"",IF($F22="Short",$H22-$J22,$J22-$H22)*$K22-($H22+$J22)*$K22*Dashboard!$D$5/100)</x:f>
        <x:v/>
      </x:c>
      <x:c r="T22" s="40" t="str">
        <x:f aca="false">IF(OR($S22="",$R22="",$R22=0),"",$S22/$R22)</x:f>
        <x:v/>
      </x:c>
      <x:c r="U22" s="41" t="str">
        <x:f aca="false">IF(OR($L22="",$L22=0,$H22="",$I22=""),"",((100/$L22)-1)/(ABS($H22-$I22)/$H22*100))</x:f>
        <x:v/>
      </x:c>
      <x:c r="V22" s="42" t="str">
        <x:f aca="false">IFERROR(VALUE(LEFT($B22,2)),"")</x:f>
        <x:v/>
      </x:c>
      <x:c r="W22" s="2"/>
    </x:row>
    <x:row r="23" customFormat="false" ht="15" hidden="false" customHeight="false" outlineLevel="0" collapsed="false">
      <x:c r="A23" s="43"/>
      <x:c r="B23" s="44"/>
      <x:c r="C23" s="45"/>
      <x:c r="D23" s="45"/>
      <x:c r="E23" s="45"/>
      <x:c r="F23" s="45"/>
      <x:c r="G23" s="45"/>
      <x:c r="H23" s="46"/>
      <x:c r="I23" s="46"/>
      <x:c r="J23" s="46"/>
      <x:c r="K23" s="47"/>
      <x:c r="L23" s="48"/>
      <x:c r="M23" s="45"/>
      <x:c r="N23" s="49"/>
      <x:c r="O23" s="50"/>
      <x:c r="P23" s="51"/>
      <x:c r="Q23" s="52"/>
      <x:c r="R23" s="38" t="str">
        <x:f aca="false">IF(OR($G23&lt;&gt;"Yes",$H23="",$I23="",$K23=""),"",ABS($H23-$I23)*$K23)</x:f>
        <x:v/>
      </x:c>
      <x:c r="S23" s="39" t="str">
        <x:f aca="false">IF(OR($G23&lt;&gt;"Yes",$H23="",$J23="",$K23=""),"",IF($F23="Short",$H23-$J23,$J23-$H23)*$K23-($H23+$J23)*$K23*Dashboard!$D$5/100)</x:f>
        <x:v/>
      </x:c>
      <x:c r="T23" s="40" t="str">
        <x:f aca="false">IF(OR($S23="",$R23="",$R23=0),"",$S23/$R23)</x:f>
        <x:v/>
      </x:c>
      <x:c r="U23" s="41" t="str">
        <x:f aca="false">IF(OR($L23="",$L23=0,$H23="",$I23=""),"",((100/$L23)-1)/(ABS($H23-$I23)/$H23*100))</x:f>
        <x:v/>
      </x:c>
      <x:c r="V23" s="42" t="str">
        <x:f aca="false">IFERROR(VALUE(LEFT($B23,2)),"")</x:f>
        <x:v/>
      </x:c>
      <x:c r="W23" s="2"/>
    </x:row>
    <x:row r="24" customFormat="false" ht="15" hidden="false" customHeight="false" outlineLevel="0" collapsed="false">
      <x:c r="A24" s="43"/>
      <x:c r="B24" s="44"/>
      <x:c r="C24" s="45"/>
      <x:c r="D24" s="45"/>
      <x:c r="E24" s="45"/>
      <x:c r="F24" s="45"/>
      <x:c r="G24" s="45"/>
      <x:c r="H24" s="46"/>
      <x:c r="I24" s="46"/>
      <x:c r="J24" s="46"/>
      <x:c r="K24" s="47"/>
      <x:c r="L24" s="48"/>
      <x:c r="M24" s="45"/>
      <x:c r="N24" s="49"/>
      <x:c r="O24" s="50"/>
      <x:c r="P24" s="51"/>
      <x:c r="Q24" s="52"/>
      <x:c r="R24" s="38" t="str">
        <x:f aca="false">IF(OR($G24&lt;&gt;"Yes",$H24="",$I24="",$K24=""),"",ABS($H24-$I24)*$K24)</x:f>
        <x:v/>
      </x:c>
      <x:c r="S24" s="39" t="str">
        <x:f aca="false">IF(OR($G24&lt;&gt;"Yes",$H24="",$J24="",$K24=""),"",IF($F24="Short",$H24-$J24,$J24-$H24)*$K24-($H24+$J24)*$K24*Dashboard!$D$5/100)</x:f>
        <x:v/>
      </x:c>
      <x:c r="T24" s="40" t="str">
        <x:f aca="false">IF(OR($S24="",$R24="",$R24=0),"",$S24/$R24)</x:f>
        <x:v/>
      </x:c>
      <x:c r="U24" s="41" t="str">
        <x:f aca="false">IF(OR($L24="",$L24=0,$H24="",$I24=""),"",((100/$L24)-1)/(ABS($H24-$I24)/$H24*100))</x:f>
        <x:v/>
      </x:c>
      <x:c r="V24" s="42" t="str">
        <x:f aca="false">IFERROR(VALUE(LEFT($B24,2)),"")</x:f>
        <x:v/>
      </x:c>
      <x:c r="W24" s="2"/>
    </x:row>
    <x:row r="25" customFormat="false" ht="15" hidden="false" customHeight="false" outlineLevel="0" collapsed="false">
      <x:c r="A25" s="43"/>
      <x:c r="B25" s="44"/>
      <x:c r="C25" s="45"/>
      <x:c r="D25" s="45"/>
      <x:c r="E25" s="45"/>
      <x:c r="F25" s="45"/>
      <x:c r="G25" s="45"/>
      <x:c r="H25" s="46"/>
      <x:c r="I25" s="46"/>
      <x:c r="J25" s="46"/>
      <x:c r="K25" s="47"/>
      <x:c r="L25" s="48"/>
      <x:c r="M25" s="45"/>
      <x:c r="N25" s="49"/>
      <x:c r="O25" s="50"/>
      <x:c r="P25" s="51"/>
      <x:c r="Q25" s="52"/>
      <x:c r="R25" s="38" t="str">
        <x:f aca="false">IF(OR($G25&lt;&gt;"Yes",$H25="",$I25="",$K25=""),"",ABS($H25-$I25)*$K25)</x:f>
        <x:v/>
      </x:c>
      <x:c r="S25" s="39" t="str">
        <x:f aca="false">IF(OR($G25&lt;&gt;"Yes",$H25="",$J25="",$K25=""),"",IF($F25="Short",$H25-$J25,$J25-$H25)*$K25-($H25+$J25)*$K25*Dashboard!$D$5/100)</x:f>
        <x:v/>
      </x:c>
      <x:c r="T25" s="40" t="str">
        <x:f aca="false">IF(OR($S25="",$R25="",$R25=0),"",$S25/$R25)</x:f>
        <x:v/>
      </x:c>
      <x:c r="U25" s="41" t="str">
        <x:f aca="false">IF(OR($L25="",$L25=0,$H25="",$I25=""),"",((100/$L25)-1)/(ABS($H25-$I25)/$H25*100))</x:f>
        <x:v/>
      </x:c>
      <x:c r="V25" s="42" t="str">
        <x:f aca="false">IFERROR(VALUE(LEFT($B25,2)),"")</x:f>
        <x:v/>
      </x:c>
      <x:c r="W25" s="2"/>
    </x:row>
    <x:row r="26" customFormat="false" ht="15" hidden="false" customHeight="false" outlineLevel="0" collapsed="false">
      <x:c r="A26" s="43"/>
      <x:c r="B26" s="44"/>
      <x:c r="C26" s="45"/>
      <x:c r="D26" s="45"/>
      <x:c r="E26" s="45"/>
      <x:c r="F26" s="45"/>
      <x:c r="G26" s="45"/>
      <x:c r="H26" s="46"/>
      <x:c r="I26" s="46"/>
      <x:c r="J26" s="46"/>
      <x:c r="K26" s="47"/>
      <x:c r="L26" s="48"/>
      <x:c r="M26" s="45"/>
      <x:c r="N26" s="49"/>
      <x:c r="O26" s="50"/>
      <x:c r="P26" s="51"/>
      <x:c r="Q26" s="52"/>
      <x:c r="R26" s="38" t="str">
        <x:f aca="false">IF(OR($G26&lt;&gt;"Yes",$H26="",$I26="",$K26=""),"",ABS($H26-$I26)*$K26)</x:f>
        <x:v/>
      </x:c>
      <x:c r="S26" s="39" t="str">
        <x:f aca="false">IF(OR($G26&lt;&gt;"Yes",$H26="",$J26="",$K26=""),"",IF($F26="Short",$H26-$J26,$J26-$H26)*$K26-($H26+$J26)*$K26*Dashboard!$D$5/100)</x:f>
        <x:v/>
      </x:c>
      <x:c r="T26" s="40" t="str">
        <x:f aca="false">IF(OR($S26="",$R26="",$R26=0),"",$S26/$R26)</x:f>
        <x:v/>
      </x:c>
      <x:c r="U26" s="41" t="str">
        <x:f aca="false">IF(OR($L26="",$L26=0,$H26="",$I26=""),"",((100/$L26)-1)/(ABS($H26-$I26)/$H26*100))</x:f>
        <x:v/>
      </x:c>
      <x:c r="V26" s="42" t="str">
        <x:f aca="false">IFERROR(VALUE(LEFT($B26,2)),"")</x:f>
        <x:v/>
      </x:c>
      <x:c r="W26" s="2"/>
    </x:row>
    <x:row r="27" customFormat="false" ht="15" hidden="false" customHeight="false" outlineLevel="0" collapsed="false">
      <x:c r="A27" s="43"/>
      <x:c r="B27" s="44"/>
      <x:c r="C27" s="45"/>
      <x:c r="D27" s="45"/>
      <x:c r="E27" s="45"/>
      <x:c r="F27" s="45"/>
      <x:c r="G27" s="45"/>
      <x:c r="H27" s="46"/>
      <x:c r="I27" s="46"/>
      <x:c r="J27" s="46"/>
      <x:c r="K27" s="47"/>
      <x:c r="L27" s="48"/>
      <x:c r="M27" s="45"/>
      <x:c r="N27" s="49"/>
      <x:c r="O27" s="50"/>
      <x:c r="P27" s="51"/>
      <x:c r="Q27" s="52"/>
      <x:c r="R27" s="38" t="str">
        <x:f aca="false">IF(OR($G27&lt;&gt;"Yes",$H27="",$I27="",$K27=""),"",ABS($H27-$I27)*$K27)</x:f>
        <x:v/>
      </x:c>
      <x:c r="S27" s="39" t="str">
        <x:f aca="false">IF(OR($G27&lt;&gt;"Yes",$H27="",$J27="",$K27=""),"",IF($F27="Short",$H27-$J27,$J27-$H27)*$K27-($H27+$J27)*$K27*Dashboard!$D$5/100)</x:f>
        <x:v/>
      </x:c>
      <x:c r="T27" s="40" t="str">
        <x:f aca="false">IF(OR($S27="",$R27="",$R27=0),"",$S27/$R27)</x:f>
        <x:v/>
      </x:c>
      <x:c r="U27" s="41" t="str">
        <x:f aca="false">IF(OR($L27="",$L27=0,$H27="",$I27=""),"",((100/$L27)-1)/(ABS($H27-$I27)/$H27*100))</x:f>
        <x:v/>
      </x:c>
      <x:c r="V27" s="42" t="str">
        <x:f aca="false">IFERROR(VALUE(LEFT($B27,2)),"")</x:f>
        <x:v/>
      </x:c>
      <x:c r="W27" s="2"/>
    </x:row>
    <x:row r="28" customFormat="false" ht="15" hidden="false" customHeight="false" outlineLevel="0" collapsed="false">
      <x:c r="A28" s="43"/>
      <x:c r="B28" s="44"/>
      <x:c r="C28" s="45"/>
      <x:c r="D28" s="45"/>
      <x:c r="E28" s="45"/>
      <x:c r="F28" s="45"/>
      <x:c r="G28" s="45"/>
      <x:c r="H28" s="46"/>
      <x:c r="I28" s="46"/>
      <x:c r="J28" s="46"/>
      <x:c r="K28" s="47"/>
      <x:c r="L28" s="48"/>
      <x:c r="M28" s="45"/>
      <x:c r="N28" s="49"/>
      <x:c r="O28" s="50"/>
      <x:c r="P28" s="51"/>
      <x:c r="Q28" s="52"/>
      <x:c r="R28" s="38" t="str">
        <x:f aca="false">IF(OR($G28&lt;&gt;"Yes",$H28="",$I28="",$K28=""),"",ABS($H28-$I28)*$K28)</x:f>
        <x:v/>
      </x:c>
      <x:c r="S28" s="39" t="str">
        <x:f aca="false">IF(OR($G28&lt;&gt;"Yes",$H28="",$J28="",$K28=""),"",IF($F28="Short",$H28-$J28,$J28-$H28)*$K28-($H28+$J28)*$K28*Dashboard!$D$5/100)</x:f>
        <x:v/>
      </x:c>
      <x:c r="T28" s="40" t="str">
        <x:f aca="false">IF(OR($S28="",$R28="",$R28=0),"",$S28/$R28)</x:f>
        <x:v/>
      </x:c>
      <x:c r="U28" s="41" t="str">
        <x:f aca="false">IF(OR($L28="",$L28=0,$H28="",$I28=""),"",((100/$L28)-1)/(ABS($H28-$I28)/$H28*100))</x:f>
        <x:v/>
      </x:c>
      <x:c r="V28" s="42" t="str">
        <x:f aca="false">IFERROR(VALUE(LEFT($B28,2)),"")</x:f>
        <x:v/>
      </x:c>
      <x:c r="W28" s="2"/>
    </x:row>
    <x:row r="29" customFormat="false" ht="15" hidden="false" customHeight="false" outlineLevel="0" collapsed="false">
      <x:c r="A29" s="43"/>
      <x:c r="B29" s="44"/>
      <x:c r="C29" s="45"/>
      <x:c r="D29" s="45"/>
      <x:c r="E29" s="45"/>
      <x:c r="F29" s="45"/>
      <x:c r="G29" s="45"/>
      <x:c r="H29" s="46"/>
      <x:c r="I29" s="46"/>
      <x:c r="J29" s="46"/>
      <x:c r="K29" s="47"/>
      <x:c r="L29" s="48"/>
      <x:c r="M29" s="45"/>
      <x:c r="N29" s="49"/>
      <x:c r="O29" s="50"/>
      <x:c r="P29" s="51"/>
      <x:c r="Q29" s="52"/>
      <x:c r="R29" s="38" t="str">
        <x:f aca="false">IF(OR($G29&lt;&gt;"Yes",$H29="",$I29="",$K29=""),"",ABS($H29-$I29)*$K29)</x:f>
        <x:v/>
      </x:c>
      <x:c r="S29" s="39" t="str">
        <x:f aca="false">IF(OR($G29&lt;&gt;"Yes",$H29="",$J29="",$K29=""),"",IF($F29="Short",$H29-$J29,$J29-$H29)*$K29-($H29+$J29)*$K29*Dashboard!$D$5/100)</x:f>
        <x:v/>
      </x:c>
      <x:c r="T29" s="40" t="str">
        <x:f aca="false">IF(OR($S29="",$R29="",$R29=0),"",$S29/$R29)</x:f>
        <x:v/>
      </x:c>
      <x:c r="U29" s="41" t="str">
        <x:f aca="false">IF(OR($L29="",$L29=0,$H29="",$I29=""),"",((100/$L29)-1)/(ABS($H29-$I29)/$H29*100))</x:f>
        <x:v/>
      </x:c>
      <x:c r="V29" s="42" t="str">
        <x:f aca="false">IFERROR(VALUE(LEFT($B29,2)),"")</x:f>
        <x:v/>
      </x:c>
      <x:c r="W29" s="2"/>
    </x:row>
    <x:row r="30" customFormat="false" ht="15" hidden="false" customHeight="false" outlineLevel="0" collapsed="false">
      <x:c r="A30" s="43"/>
      <x:c r="B30" s="44"/>
      <x:c r="C30" s="45"/>
      <x:c r="D30" s="45"/>
      <x:c r="E30" s="45"/>
      <x:c r="F30" s="45"/>
      <x:c r="G30" s="45"/>
      <x:c r="H30" s="46"/>
      <x:c r="I30" s="46"/>
      <x:c r="J30" s="46"/>
      <x:c r="K30" s="47"/>
      <x:c r="L30" s="48"/>
      <x:c r="M30" s="45"/>
      <x:c r="N30" s="49"/>
      <x:c r="O30" s="50"/>
      <x:c r="P30" s="51"/>
      <x:c r="Q30" s="52"/>
      <x:c r="R30" s="38" t="str">
        <x:f aca="false">IF(OR($G30&lt;&gt;"Yes",$H30="",$I30="",$K30=""),"",ABS($H30-$I30)*$K30)</x:f>
        <x:v/>
      </x:c>
      <x:c r="S30" s="39" t="str">
        <x:f aca="false">IF(OR($G30&lt;&gt;"Yes",$H30="",$J30="",$K30=""),"",IF($F30="Short",$H30-$J30,$J30-$H30)*$K30-($H30+$J30)*$K30*Dashboard!$D$5/100)</x:f>
        <x:v/>
      </x:c>
      <x:c r="T30" s="40" t="str">
        <x:f aca="false">IF(OR($S30="",$R30="",$R30=0),"",$S30/$R30)</x:f>
        <x:v/>
      </x:c>
      <x:c r="U30" s="41" t="str">
        <x:f aca="false">IF(OR($L30="",$L30=0,$H30="",$I30=""),"",((100/$L30)-1)/(ABS($H30-$I30)/$H30*100))</x:f>
        <x:v/>
      </x:c>
      <x:c r="V30" s="42" t="str">
        <x:f aca="false">IFERROR(VALUE(LEFT($B30,2)),"")</x:f>
        <x:v/>
      </x:c>
      <x:c r="W30" s="2"/>
    </x:row>
    <x:row r="31" customFormat="false" ht="15" hidden="false" customHeight="false" outlineLevel="0" collapsed="false">
      <x:c r="A31" s="43"/>
      <x:c r="B31" s="44"/>
      <x:c r="C31" s="45"/>
      <x:c r="D31" s="45"/>
      <x:c r="E31" s="45"/>
      <x:c r="F31" s="45"/>
      <x:c r="G31" s="45"/>
      <x:c r="H31" s="46"/>
      <x:c r="I31" s="46"/>
      <x:c r="J31" s="46"/>
      <x:c r="K31" s="47"/>
      <x:c r="L31" s="48"/>
      <x:c r="M31" s="45"/>
      <x:c r="N31" s="49"/>
      <x:c r="O31" s="50"/>
      <x:c r="P31" s="51"/>
      <x:c r="Q31" s="52"/>
      <x:c r="R31" s="38" t="str">
        <x:f aca="false">IF(OR($G31&lt;&gt;"Yes",$H31="",$I31="",$K31=""),"",ABS($H31-$I31)*$K31)</x:f>
        <x:v/>
      </x:c>
      <x:c r="S31" s="39" t="str">
        <x:f aca="false">IF(OR($G31&lt;&gt;"Yes",$H31="",$J31="",$K31=""),"",IF($F31="Short",$H31-$J31,$J31-$H31)*$K31-($H31+$J31)*$K31*Dashboard!$D$5/100)</x:f>
        <x:v/>
      </x:c>
      <x:c r="T31" s="40" t="str">
        <x:f aca="false">IF(OR($S31="",$R31="",$R31=0),"",$S31/$R31)</x:f>
        <x:v/>
      </x:c>
      <x:c r="U31" s="41" t="str">
        <x:f aca="false">IF(OR($L31="",$L31=0,$H31="",$I31=""),"",((100/$L31)-1)/(ABS($H31-$I31)/$H31*100))</x:f>
        <x:v/>
      </x:c>
      <x:c r="V31" s="42" t="str">
        <x:f aca="false">IFERROR(VALUE(LEFT($B31,2)),"")</x:f>
        <x:v/>
      </x:c>
      <x:c r="W31" s="2"/>
    </x:row>
    <x:row r="32" customFormat="false" ht="15" hidden="false" customHeight="false" outlineLevel="0" collapsed="false">
      <x:c r="A32" s="43"/>
      <x:c r="B32" s="44"/>
      <x:c r="C32" s="45"/>
      <x:c r="D32" s="45"/>
      <x:c r="E32" s="45"/>
      <x:c r="F32" s="45"/>
      <x:c r="G32" s="45"/>
      <x:c r="H32" s="46"/>
      <x:c r="I32" s="46"/>
      <x:c r="J32" s="46"/>
      <x:c r="K32" s="47"/>
      <x:c r="L32" s="48"/>
      <x:c r="M32" s="45"/>
      <x:c r="N32" s="49"/>
      <x:c r="O32" s="50"/>
      <x:c r="P32" s="51"/>
      <x:c r="Q32" s="52"/>
      <x:c r="R32" s="38" t="str">
        <x:f aca="false">IF(OR($G32&lt;&gt;"Yes",$H32="",$I32="",$K32=""),"",ABS($H32-$I32)*$K32)</x:f>
        <x:v/>
      </x:c>
      <x:c r="S32" s="39" t="str">
        <x:f aca="false">IF(OR($G32&lt;&gt;"Yes",$H32="",$J32="",$K32=""),"",IF($F32="Short",$H32-$J32,$J32-$H32)*$K32-($H32+$J32)*$K32*Dashboard!$D$5/100)</x:f>
        <x:v/>
      </x:c>
      <x:c r="T32" s="40" t="str">
        <x:f aca="false">IF(OR($S32="",$R32="",$R32=0),"",$S32/$R32)</x:f>
        <x:v/>
      </x:c>
      <x:c r="U32" s="41" t="str">
        <x:f aca="false">IF(OR($L32="",$L32=0,$H32="",$I32=""),"",((100/$L32)-1)/(ABS($H32-$I32)/$H32*100))</x:f>
        <x:v/>
      </x:c>
      <x:c r="V32" s="42" t="str">
        <x:f aca="false">IFERROR(VALUE(LEFT($B32,2)),"")</x:f>
        <x:v/>
      </x:c>
      <x:c r="W32" s="2"/>
    </x:row>
    <x:row r="33" customFormat="false" ht="15" hidden="false" customHeight="false" outlineLevel="0" collapsed="false">
      <x:c r="A33" s="43"/>
      <x:c r="B33" s="44"/>
      <x:c r="C33" s="45"/>
      <x:c r="D33" s="45"/>
      <x:c r="E33" s="45"/>
      <x:c r="F33" s="45"/>
      <x:c r="G33" s="45"/>
      <x:c r="H33" s="46"/>
      <x:c r="I33" s="46"/>
      <x:c r="J33" s="46"/>
      <x:c r="K33" s="47"/>
      <x:c r="L33" s="48"/>
      <x:c r="M33" s="45"/>
      <x:c r="N33" s="49"/>
      <x:c r="O33" s="50"/>
      <x:c r="P33" s="51"/>
      <x:c r="Q33" s="52"/>
      <x:c r="R33" s="38" t="str">
        <x:f aca="false">IF(OR($G33&lt;&gt;"Yes",$H33="",$I33="",$K33=""),"",ABS($H33-$I33)*$K33)</x:f>
        <x:v/>
      </x:c>
      <x:c r="S33" s="39" t="str">
        <x:f aca="false">IF(OR($G33&lt;&gt;"Yes",$H33="",$J33="",$K33=""),"",IF($F33="Short",$H33-$J33,$J33-$H33)*$K33-($H33+$J33)*$K33*Dashboard!$D$5/100)</x:f>
        <x:v/>
      </x:c>
      <x:c r="T33" s="40" t="str">
        <x:f aca="false">IF(OR($S33="",$R33="",$R33=0),"",$S33/$R33)</x:f>
        <x:v/>
      </x:c>
      <x:c r="U33" s="41" t="str">
        <x:f aca="false">IF(OR($L33="",$L33=0,$H33="",$I33=""),"",((100/$L33)-1)/(ABS($H33-$I33)/$H33*100))</x:f>
        <x:v/>
      </x:c>
      <x:c r="V33" s="42" t="str">
        <x:f aca="false">IFERROR(VALUE(LEFT($B33,2)),"")</x:f>
        <x:v/>
      </x:c>
      <x:c r="W33" s="2"/>
    </x:row>
    <x:row r="34" customFormat="false" ht="15" hidden="false" customHeight="false" outlineLevel="0" collapsed="false">
      <x:c r="A34" s="43"/>
      <x:c r="B34" s="44"/>
      <x:c r="C34" s="45"/>
      <x:c r="D34" s="45"/>
      <x:c r="E34" s="45"/>
      <x:c r="F34" s="45"/>
      <x:c r="G34" s="45"/>
      <x:c r="H34" s="46"/>
      <x:c r="I34" s="46"/>
      <x:c r="J34" s="46"/>
      <x:c r="K34" s="47"/>
      <x:c r="L34" s="48"/>
      <x:c r="M34" s="45"/>
      <x:c r="N34" s="49"/>
      <x:c r="O34" s="50"/>
      <x:c r="P34" s="51"/>
      <x:c r="Q34" s="52"/>
      <x:c r="R34" s="38" t="str">
        <x:f aca="false">IF(OR($G34&lt;&gt;"Yes",$H34="",$I34="",$K34=""),"",ABS($H34-$I34)*$K34)</x:f>
        <x:v/>
      </x:c>
      <x:c r="S34" s="39" t="str">
        <x:f aca="false">IF(OR($G34&lt;&gt;"Yes",$H34="",$J34="",$K34=""),"",IF($F34="Short",$H34-$J34,$J34-$H34)*$K34-($H34+$J34)*$K34*Dashboard!$D$5/100)</x:f>
        <x:v/>
      </x:c>
      <x:c r="T34" s="40" t="str">
        <x:f aca="false">IF(OR($S34="",$R34="",$R34=0),"",$S34/$R34)</x:f>
        <x:v/>
      </x:c>
      <x:c r="U34" s="41" t="str">
        <x:f aca="false">IF(OR($L34="",$L34=0,$H34="",$I34=""),"",((100/$L34)-1)/(ABS($H34-$I34)/$H34*100))</x:f>
        <x:v/>
      </x:c>
      <x:c r="V34" s="42" t="str">
        <x:f aca="false">IFERROR(VALUE(LEFT($B34,2)),"")</x:f>
        <x:v/>
      </x:c>
      <x:c r="W34" s="2"/>
    </x:row>
    <x:row r="35" customFormat="false" ht="15" hidden="false" customHeight="false" outlineLevel="0" collapsed="false">
      <x:c r="A35" s="43"/>
      <x:c r="B35" s="44"/>
      <x:c r="C35" s="45"/>
      <x:c r="D35" s="45"/>
      <x:c r="E35" s="45"/>
      <x:c r="F35" s="45"/>
      <x:c r="G35" s="45"/>
      <x:c r="H35" s="46"/>
      <x:c r="I35" s="46"/>
      <x:c r="J35" s="46"/>
      <x:c r="K35" s="47"/>
      <x:c r="L35" s="48"/>
      <x:c r="M35" s="45"/>
      <x:c r="N35" s="49"/>
      <x:c r="O35" s="50"/>
      <x:c r="P35" s="51"/>
      <x:c r="Q35" s="52"/>
      <x:c r="R35" s="38" t="str">
        <x:f aca="false">IF(OR($G35&lt;&gt;"Yes",$H35="",$I35="",$K35=""),"",ABS($H35-$I35)*$K35)</x:f>
        <x:v/>
      </x:c>
      <x:c r="S35" s="39" t="str">
        <x:f aca="false">IF(OR($G35&lt;&gt;"Yes",$H35="",$J35="",$K35=""),"",IF($F35="Short",$H35-$J35,$J35-$H35)*$K35-($H35+$J35)*$K35*Dashboard!$D$5/100)</x:f>
        <x:v/>
      </x:c>
      <x:c r="T35" s="40" t="str">
        <x:f aca="false">IF(OR($S35="",$R35="",$R35=0),"",$S35/$R35)</x:f>
        <x:v/>
      </x:c>
      <x:c r="U35" s="41" t="str">
        <x:f aca="false">IF(OR($L35="",$L35=0,$H35="",$I35=""),"",((100/$L35)-1)/(ABS($H35-$I35)/$H35*100))</x:f>
        <x:v/>
      </x:c>
      <x:c r="V35" s="42" t="str">
        <x:f aca="false">IFERROR(VALUE(LEFT($B35,2)),"")</x:f>
        <x:v/>
      </x:c>
      <x:c r="W35" s="2"/>
    </x:row>
    <x:row r="36" customFormat="false" ht="15" hidden="false" customHeight="false" outlineLevel="0" collapsed="false">
      <x:c r="A36" s="43"/>
      <x:c r="B36" s="44"/>
      <x:c r="C36" s="45"/>
      <x:c r="D36" s="45"/>
      <x:c r="E36" s="45"/>
      <x:c r="F36" s="45"/>
      <x:c r="G36" s="45"/>
      <x:c r="H36" s="46"/>
      <x:c r="I36" s="46"/>
      <x:c r="J36" s="46"/>
      <x:c r="K36" s="47"/>
      <x:c r="L36" s="48"/>
      <x:c r="M36" s="45"/>
      <x:c r="N36" s="49"/>
      <x:c r="O36" s="50"/>
      <x:c r="P36" s="51"/>
      <x:c r="Q36" s="52"/>
      <x:c r="R36" s="38" t="str">
        <x:f aca="false">IF(OR($G36&lt;&gt;"Yes",$H36="",$I36="",$K36=""),"",ABS($H36-$I36)*$K36)</x:f>
        <x:v/>
      </x:c>
      <x:c r="S36" s="39" t="str">
        <x:f aca="false">IF(OR($G36&lt;&gt;"Yes",$H36="",$J36="",$K36=""),"",IF($F36="Short",$H36-$J36,$J36-$H36)*$K36-($H36+$J36)*$K36*Dashboard!$D$5/100)</x:f>
        <x:v/>
      </x:c>
      <x:c r="T36" s="40" t="str">
        <x:f aca="false">IF(OR($S36="",$R36="",$R36=0),"",$S36/$R36)</x:f>
        <x:v/>
      </x:c>
      <x:c r="U36" s="41" t="str">
        <x:f aca="false">IF(OR($L36="",$L36=0,$H36="",$I36=""),"",((100/$L36)-1)/(ABS($H36-$I36)/$H36*100))</x:f>
        <x:v/>
      </x:c>
      <x:c r="V36" s="42" t="str">
        <x:f aca="false">IFERROR(VALUE(LEFT($B36,2)),"")</x:f>
        <x:v/>
      </x:c>
      <x:c r="W36" s="2"/>
    </x:row>
    <x:row r="37" customFormat="false" ht="15" hidden="false" customHeight="false" outlineLevel="0" collapsed="false">
      <x:c r="A37" s="43"/>
      <x:c r="B37" s="44"/>
      <x:c r="C37" s="45"/>
      <x:c r="D37" s="45"/>
      <x:c r="E37" s="45"/>
      <x:c r="F37" s="45"/>
      <x:c r="G37" s="45"/>
      <x:c r="H37" s="46"/>
      <x:c r="I37" s="46"/>
      <x:c r="J37" s="46"/>
      <x:c r="K37" s="47"/>
      <x:c r="L37" s="48"/>
      <x:c r="M37" s="45"/>
      <x:c r="N37" s="49"/>
      <x:c r="O37" s="50"/>
      <x:c r="P37" s="51"/>
      <x:c r="Q37" s="52"/>
      <x:c r="R37" s="38" t="str">
        <x:f aca="false">IF(OR($G37&lt;&gt;"Yes",$H37="",$I37="",$K37=""),"",ABS($H37-$I37)*$K37)</x:f>
        <x:v/>
      </x:c>
      <x:c r="S37" s="39" t="str">
        <x:f aca="false">IF(OR($G37&lt;&gt;"Yes",$H37="",$J37="",$K37=""),"",IF($F37="Short",$H37-$J37,$J37-$H37)*$K37-($H37+$J37)*$K37*Dashboard!$D$5/100)</x:f>
        <x:v/>
      </x:c>
      <x:c r="T37" s="40" t="str">
        <x:f aca="false">IF(OR($S37="",$R37="",$R37=0),"",$S37/$R37)</x:f>
        <x:v/>
      </x:c>
      <x:c r="U37" s="41" t="str">
        <x:f aca="false">IF(OR($L37="",$L37=0,$H37="",$I37=""),"",((100/$L37)-1)/(ABS($H37-$I37)/$H37*100))</x:f>
        <x:v/>
      </x:c>
      <x:c r="V37" s="42" t="str">
        <x:f aca="false">IFERROR(VALUE(LEFT($B37,2)),"")</x:f>
        <x:v/>
      </x:c>
      <x:c r="W37" s="2"/>
    </x:row>
    <x:row r="38" customFormat="false" ht="15" hidden="false" customHeight="false" outlineLevel="0" collapsed="false">
      <x:c r="A38" s="43"/>
      <x:c r="B38" s="44"/>
      <x:c r="C38" s="45"/>
      <x:c r="D38" s="45"/>
      <x:c r="E38" s="45"/>
      <x:c r="F38" s="45"/>
      <x:c r="G38" s="45"/>
      <x:c r="H38" s="46"/>
      <x:c r="I38" s="46"/>
      <x:c r="J38" s="46"/>
      <x:c r="K38" s="47"/>
      <x:c r="L38" s="48"/>
      <x:c r="M38" s="45"/>
      <x:c r="N38" s="49"/>
      <x:c r="O38" s="50"/>
      <x:c r="P38" s="51"/>
      <x:c r="Q38" s="52"/>
      <x:c r="R38" s="38" t="str">
        <x:f aca="false">IF(OR($G38&lt;&gt;"Yes",$H38="",$I38="",$K38=""),"",ABS($H38-$I38)*$K38)</x:f>
        <x:v/>
      </x:c>
      <x:c r="S38" s="39" t="str">
        <x:f aca="false">IF(OR($G38&lt;&gt;"Yes",$H38="",$J38="",$K38=""),"",IF($F38="Short",$H38-$J38,$J38-$H38)*$K38-($H38+$J38)*$K38*Dashboard!$D$5/100)</x:f>
        <x:v/>
      </x:c>
      <x:c r="T38" s="40" t="str">
        <x:f aca="false">IF(OR($S38="",$R38="",$R38=0),"",$S38/$R38)</x:f>
        <x:v/>
      </x:c>
      <x:c r="U38" s="41" t="str">
        <x:f aca="false">IF(OR($L38="",$L38=0,$H38="",$I38=""),"",((100/$L38)-1)/(ABS($H38-$I38)/$H38*100))</x:f>
        <x:v/>
      </x:c>
      <x:c r="V38" s="42" t="str">
        <x:f aca="false">IFERROR(VALUE(LEFT($B38,2)),"")</x:f>
        <x:v/>
      </x:c>
      <x:c r="W38" s="2"/>
    </x:row>
    <x:row r="39" customFormat="false" ht="15" hidden="false" customHeight="false" outlineLevel="0" collapsed="false">
      <x:c r="A39" s="43"/>
      <x:c r="B39" s="44"/>
      <x:c r="C39" s="45"/>
      <x:c r="D39" s="45"/>
      <x:c r="E39" s="45"/>
      <x:c r="F39" s="45"/>
      <x:c r="G39" s="45"/>
      <x:c r="H39" s="46"/>
      <x:c r="I39" s="46"/>
      <x:c r="J39" s="46"/>
      <x:c r="K39" s="47"/>
      <x:c r="L39" s="48"/>
      <x:c r="M39" s="45"/>
      <x:c r="N39" s="49"/>
      <x:c r="O39" s="50"/>
      <x:c r="P39" s="51"/>
      <x:c r="Q39" s="52"/>
      <x:c r="R39" s="38" t="str">
        <x:f aca="false">IF(OR($G39&lt;&gt;"Yes",$H39="",$I39="",$K39=""),"",ABS($H39-$I39)*$K39)</x:f>
        <x:v/>
      </x:c>
      <x:c r="S39" s="39" t="str">
        <x:f aca="false">IF(OR($G39&lt;&gt;"Yes",$H39="",$J39="",$K39=""),"",IF($F39="Short",$H39-$J39,$J39-$H39)*$K39-($H39+$J39)*$K39*Dashboard!$D$5/100)</x:f>
        <x:v/>
      </x:c>
      <x:c r="T39" s="40" t="str">
        <x:f aca="false">IF(OR($S39="",$R39="",$R39=0),"",$S39/$R39)</x:f>
        <x:v/>
      </x:c>
      <x:c r="U39" s="41" t="str">
        <x:f aca="false">IF(OR($L39="",$L39=0,$H39="",$I39=""),"",((100/$L39)-1)/(ABS($H39-$I39)/$H39*100))</x:f>
        <x:v/>
      </x:c>
      <x:c r="V39" s="42" t="str">
        <x:f aca="false">IFERROR(VALUE(LEFT($B39,2)),"")</x:f>
        <x:v/>
      </x:c>
      <x:c r="W39" s="2"/>
    </x:row>
    <x:row r="40" customFormat="false" ht="15" hidden="false" customHeight="false" outlineLevel="0" collapsed="false">
      <x:c r="A40" s="43"/>
      <x:c r="B40" s="44"/>
      <x:c r="C40" s="45"/>
      <x:c r="D40" s="45"/>
      <x:c r="E40" s="45"/>
      <x:c r="F40" s="45"/>
      <x:c r="G40" s="45"/>
      <x:c r="H40" s="46"/>
      <x:c r="I40" s="46"/>
      <x:c r="J40" s="46"/>
      <x:c r="K40" s="47"/>
      <x:c r="L40" s="48"/>
      <x:c r="M40" s="45"/>
      <x:c r="N40" s="49"/>
      <x:c r="O40" s="50"/>
      <x:c r="P40" s="51"/>
      <x:c r="Q40" s="52"/>
      <x:c r="R40" s="38" t="str">
        <x:f aca="false">IF(OR($G40&lt;&gt;"Yes",$H40="",$I40="",$K40=""),"",ABS($H40-$I40)*$K40)</x:f>
        <x:v/>
      </x:c>
      <x:c r="S40" s="39" t="str">
        <x:f aca="false">IF(OR($G40&lt;&gt;"Yes",$H40="",$J40="",$K40=""),"",IF($F40="Short",$H40-$J40,$J40-$H40)*$K40-($H40+$J40)*$K40*Dashboard!$D$5/100)</x:f>
        <x:v/>
      </x:c>
      <x:c r="T40" s="40" t="str">
        <x:f aca="false">IF(OR($S40="",$R40="",$R40=0),"",$S40/$R40)</x:f>
        <x:v/>
      </x:c>
      <x:c r="U40" s="41" t="str">
        <x:f aca="false">IF(OR($L40="",$L40=0,$H40="",$I40=""),"",((100/$L40)-1)/(ABS($H40-$I40)/$H40*100))</x:f>
        <x:v/>
      </x:c>
      <x:c r="V40" s="42" t="str">
        <x:f aca="false">IFERROR(VALUE(LEFT($B40,2)),"")</x:f>
        <x:v/>
      </x:c>
      <x:c r="W40" s="2"/>
    </x:row>
    <x:row r="41" customFormat="false" ht="15" hidden="false" customHeight="false" outlineLevel="0" collapsed="false">
      <x:c r="A41" s="43"/>
      <x:c r="B41" s="44"/>
      <x:c r="C41" s="45"/>
      <x:c r="D41" s="45"/>
      <x:c r="E41" s="45"/>
      <x:c r="F41" s="45"/>
      <x:c r="G41" s="45"/>
      <x:c r="H41" s="46"/>
      <x:c r="I41" s="46"/>
      <x:c r="J41" s="46"/>
      <x:c r="K41" s="47"/>
      <x:c r="L41" s="48"/>
      <x:c r="M41" s="45"/>
      <x:c r="N41" s="49"/>
      <x:c r="O41" s="50"/>
      <x:c r="P41" s="51"/>
      <x:c r="Q41" s="52"/>
      <x:c r="R41" s="38" t="str">
        <x:f aca="false">IF(OR($G41&lt;&gt;"Yes",$H41="",$I41="",$K41=""),"",ABS($H41-$I41)*$K41)</x:f>
        <x:v/>
      </x:c>
      <x:c r="S41" s="39" t="str">
        <x:f aca="false">IF(OR($G41&lt;&gt;"Yes",$H41="",$J41="",$K41=""),"",IF($F41="Short",$H41-$J41,$J41-$H41)*$K41-($H41+$J41)*$K41*Dashboard!$D$5/100)</x:f>
        <x:v/>
      </x:c>
      <x:c r="T41" s="40" t="str">
        <x:f aca="false">IF(OR($S41="",$R41="",$R41=0),"",$S41/$R41)</x:f>
        <x:v/>
      </x:c>
      <x:c r="U41" s="41" t="str">
        <x:f aca="false">IF(OR($L41="",$L41=0,$H41="",$I41=""),"",((100/$L41)-1)/(ABS($H41-$I41)/$H41*100))</x:f>
        <x:v/>
      </x:c>
      <x:c r="V41" s="42" t="str">
        <x:f aca="false">IFERROR(VALUE(LEFT($B41,2)),"")</x:f>
        <x:v/>
      </x:c>
      <x:c r="W41" s="2"/>
    </x:row>
    <x:row r="42" customFormat="false" ht="15" hidden="false" customHeight="false" outlineLevel="0" collapsed="false">
      <x:c r="A42" s="43"/>
      <x:c r="B42" s="44"/>
      <x:c r="C42" s="45"/>
      <x:c r="D42" s="45"/>
      <x:c r="E42" s="45"/>
      <x:c r="F42" s="45"/>
      <x:c r="G42" s="45"/>
      <x:c r="H42" s="46"/>
      <x:c r="I42" s="46"/>
      <x:c r="J42" s="46"/>
      <x:c r="K42" s="47"/>
      <x:c r="L42" s="48"/>
      <x:c r="M42" s="45"/>
      <x:c r="N42" s="49"/>
      <x:c r="O42" s="50"/>
      <x:c r="P42" s="51"/>
      <x:c r="Q42" s="52"/>
      <x:c r="R42" s="38" t="str">
        <x:f aca="false">IF(OR($G42&lt;&gt;"Yes",$H42="",$I42="",$K42=""),"",ABS($H42-$I42)*$K42)</x:f>
        <x:v/>
      </x:c>
      <x:c r="S42" s="39" t="str">
        <x:f aca="false">IF(OR($G42&lt;&gt;"Yes",$H42="",$J42="",$K42=""),"",IF($F42="Short",$H42-$J42,$J42-$H42)*$K42-($H42+$J42)*$K42*Dashboard!$D$5/100)</x:f>
        <x:v/>
      </x:c>
      <x:c r="T42" s="40" t="str">
        <x:f aca="false">IF(OR($S42="",$R42="",$R42=0),"",$S42/$R42)</x:f>
        <x:v/>
      </x:c>
      <x:c r="U42" s="41" t="str">
        <x:f aca="false">IF(OR($L42="",$L42=0,$H42="",$I42=""),"",((100/$L42)-1)/(ABS($H42-$I42)/$H42*100))</x:f>
        <x:v/>
      </x:c>
      <x:c r="V42" s="42" t="str">
        <x:f aca="false">IFERROR(VALUE(LEFT($B42,2)),"")</x:f>
        <x:v/>
      </x:c>
      <x:c r="W42" s="2"/>
    </x:row>
    <x:row r="43" customFormat="false" ht="15" hidden="false" customHeight="false" outlineLevel="0" collapsed="false">
      <x:c r="A43" s="43"/>
      <x:c r="B43" s="44"/>
      <x:c r="C43" s="45"/>
      <x:c r="D43" s="45"/>
      <x:c r="E43" s="45"/>
      <x:c r="F43" s="45"/>
      <x:c r="G43" s="45"/>
      <x:c r="H43" s="46"/>
      <x:c r="I43" s="46"/>
      <x:c r="J43" s="46"/>
      <x:c r="K43" s="47"/>
      <x:c r="L43" s="48"/>
      <x:c r="M43" s="45"/>
      <x:c r="N43" s="49"/>
      <x:c r="O43" s="50"/>
      <x:c r="P43" s="51"/>
      <x:c r="Q43" s="52"/>
      <x:c r="R43" s="38" t="str">
        <x:f aca="false">IF(OR($G43&lt;&gt;"Yes",$H43="",$I43="",$K43=""),"",ABS($H43-$I43)*$K43)</x:f>
        <x:v/>
      </x:c>
      <x:c r="S43" s="39" t="str">
        <x:f aca="false">IF(OR($G43&lt;&gt;"Yes",$H43="",$J43="",$K43=""),"",IF($F43="Short",$H43-$J43,$J43-$H43)*$K43-($H43+$J43)*$K43*Dashboard!$D$5/100)</x:f>
        <x:v/>
      </x:c>
      <x:c r="T43" s="40" t="str">
        <x:f aca="false">IF(OR($S43="",$R43="",$R43=0),"",$S43/$R43)</x:f>
        <x:v/>
      </x:c>
      <x:c r="U43" s="41" t="str">
        <x:f aca="false">IF(OR($L43="",$L43=0,$H43="",$I43=""),"",((100/$L43)-1)/(ABS($H43-$I43)/$H43*100))</x:f>
        <x:v/>
      </x:c>
      <x:c r="V43" s="42" t="str">
        <x:f aca="false">IFERROR(VALUE(LEFT($B43,2)),"")</x:f>
        <x:v/>
      </x:c>
      <x:c r="W43" s="2"/>
    </x:row>
    <x:row r="44" customFormat="false" ht="15" hidden="false" customHeight="false" outlineLevel="0" collapsed="false">
      <x:c r="A44" s="43"/>
      <x:c r="B44" s="44"/>
      <x:c r="C44" s="45"/>
      <x:c r="D44" s="45"/>
      <x:c r="E44" s="45"/>
      <x:c r="F44" s="45"/>
      <x:c r="G44" s="45"/>
      <x:c r="H44" s="46"/>
      <x:c r="I44" s="46"/>
      <x:c r="J44" s="46"/>
      <x:c r="K44" s="47"/>
      <x:c r="L44" s="48"/>
      <x:c r="M44" s="45"/>
      <x:c r="N44" s="49"/>
      <x:c r="O44" s="50"/>
      <x:c r="P44" s="51"/>
      <x:c r="Q44" s="52"/>
      <x:c r="R44" s="38" t="str">
        <x:f aca="false">IF(OR($G44&lt;&gt;"Yes",$H44="",$I44="",$K44=""),"",ABS($H44-$I44)*$K44)</x:f>
        <x:v/>
      </x:c>
      <x:c r="S44" s="39" t="str">
        <x:f aca="false">IF(OR($G44&lt;&gt;"Yes",$H44="",$J44="",$K44=""),"",IF($F44="Short",$H44-$J44,$J44-$H44)*$K44-($H44+$J44)*$K44*Dashboard!$D$5/100)</x:f>
        <x:v/>
      </x:c>
      <x:c r="T44" s="40" t="str">
        <x:f aca="false">IF(OR($S44="",$R44="",$R44=0),"",$S44/$R44)</x:f>
        <x:v/>
      </x:c>
      <x:c r="U44" s="41" t="str">
        <x:f aca="false">IF(OR($L44="",$L44=0,$H44="",$I44=""),"",((100/$L44)-1)/(ABS($H44-$I44)/$H44*100))</x:f>
        <x:v/>
      </x:c>
      <x:c r="V44" s="42" t="str">
        <x:f aca="false">IFERROR(VALUE(LEFT($B44,2)),"")</x:f>
        <x:v/>
      </x:c>
      <x:c r="W44" s="2"/>
    </x:row>
    <x:row r="45" customFormat="false" ht="15" hidden="false" customHeight="false" outlineLevel="0" collapsed="false">
      <x:c r="A45" s="43"/>
      <x:c r="B45" s="44"/>
      <x:c r="C45" s="45"/>
      <x:c r="D45" s="45"/>
      <x:c r="E45" s="45"/>
      <x:c r="F45" s="45"/>
      <x:c r="G45" s="45"/>
      <x:c r="H45" s="46"/>
      <x:c r="I45" s="46"/>
      <x:c r="J45" s="46"/>
      <x:c r="K45" s="47"/>
      <x:c r="L45" s="48"/>
      <x:c r="M45" s="45"/>
      <x:c r="N45" s="49"/>
      <x:c r="O45" s="50"/>
      <x:c r="P45" s="51"/>
      <x:c r="Q45" s="52"/>
      <x:c r="R45" s="38" t="str">
        <x:f aca="false">IF(OR($G45&lt;&gt;"Yes",$H45="",$I45="",$K45=""),"",ABS($H45-$I45)*$K45)</x:f>
        <x:v/>
      </x:c>
      <x:c r="S45" s="39" t="str">
        <x:f aca="false">IF(OR($G45&lt;&gt;"Yes",$H45="",$J45="",$K45=""),"",IF($F45="Short",$H45-$J45,$J45-$H45)*$K45-($H45+$J45)*$K45*Dashboard!$D$5/100)</x:f>
        <x:v/>
      </x:c>
      <x:c r="T45" s="40" t="str">
        <x:f aca="false">IF(OR($S45="",$R45="",$R45=0),"",$S45/$R45)</x:f>
        <x:v/>
      </x:c>
      <x:c r="U45" s="41" t="str">
        <x:f aca="false">IF(OR($L45="",$L45=0,$H45="",$I45=""),"",((100/$L45)-1)/(ABS($H45-$I45)/$H45*100))</x:f>
        <x:v/>
      </x:c>
      <x:c r="V45" s="42" t="str">
        <x:f aca="false">IFERROR(VALUE(LEFT($B45,2)),"")</x:f>
        <x:v/>
      </x:c>
      <x:c r="W45" s="2"/>
    </x:row>
    <x:row r="46" customFormat="false" ht="15" hidden="false" customHeight="false" outlineLevel="0" collapsed="false">
      <x:c r="A46" s="43"/>
      <x:c r="B46" s="44"/>
      <x:c r="C46" s="45"/>
      <x:c r="D46" s="45"/>
      <x:c r="E46" s="45"/>
      <x:c r="F46" s="45"/>
      <x:c r="G46" s="45"/>
      <x:c r="H46" s="46"/>
      <x:c r="I46" s="46"/>
      <x:c r="J46" s="46"/>
      <x:c r="K46" s="47"/>
      <x:c r="L46" s="48"/>
      <x:c r="M46" s="45"/>
      <x:c r="N46" s="49"/>
      <x:c r="O46" s="50"/>
      <x:c r="P46" s="51"/>
      <x:c r="Q46" s="52"/>
      <x:c r="R46" s="38" t="str">
        <x:f aca="false">IF(OR($G46&lt;&gt;"Yes",$H46="",$I46="",$K46=""),"",ABS($H46-$I46)*$K46)</x:f>
        <x:v/>
      </x:c>
      <x:c r="S46" s="39" t="str">
        <x:f aca="false">IF(OR($G46&lt;&gt;"Yes",$H46="",$J46="",$K46=""),"",IF($F46="Short",$H46-$J46,$J46-$H46)*$K46-($H46+$J46)*$K46*Dashboard!$D$5/100)</x:f>
        <x:v/>
      </x:c>
      <x:c r="T46" s="40" t="str">
        <x:f aca="false">IF(OR($S46="",$R46="",$R46=0),"",$S46/$R46)</x:f>
        <x:v/>
      </x:c>
      <x:c r="U46" s="41" t="str">
        <x:f aca="false">IF(OR($L46="",$L46=0,$H46="",$I46=""),"",((100/$L46)-1)/(ABS($H46-$I46)/$H46*100))</x:f>
        <x:v/>
      </x:c>
      <x:c r="V46" s="42" t="str">
        <x:f aca="false">IFERROR(VALUE(LEFT($B46,2)),"")</x:f>
        <x:v/>
      </x:c>
      <x:c r="W46" s="2"/>
    </x:row>
    <x:row r="47" customFormat="false" ht="15" hidden="false" customHeight="false" outlineLevel="0" collapsed="false">
      <x:c r="A47" s="43"/>
      <x:c r="B47" s="44"/>
      <x:c r="C47" s="45"/>
      <x:c r="D47" s="45"/>
      <x:c r="E47" s="45"/>
      <x:c r="F47" s="45"/>
      <x:c r="G47" s="45"/>
      <x:c r="H47" s="46"/>
      <x:c r="I47" s="46"/>
      <x:c r="J47" s="46"/>
      <x:c r="K47" s="47"/>
      <x:c r="L47" s="48"/>
      <x:c r="M47" s="45"/>
      <x:c r="N47" s="49"/>
      <x:c r="O47" s="50"/>
      <x:c r="P47" s="51"/>
      <x:c r="Q47" s="52"/>
      <x:c r="R47" s="38" t="str">
        <x:f aca="false">IF(OR($G47&lt;&gt;"Yes",$H47="",$I47="",$K47=""),"",ABS($H47-$I47)*$K47)</x:f>
        <x:v/>
      </x:c>
      <x:c r="S47" s="39" t="str">
        <x:f aca="false">IF(OR($G47&lt;&gt;"Yes",$H47="",$J47="",$K47=""),"",IF($F47="Short",$H47-$J47,$J47-$H47)*$K47-($H47+$J47)*$K47*Dashboard!$D$5/100)</x:f>
        <x:v/>
      </x:c>
      <x:c r="T47" s="40" t="str">
        <x:f aca="false">IF(OR($S47="",$R47="",$R47=0),"",$S47/$R47)</x:f>
        <x:v/>
      </x:c>
      <x:c r="U47" s="41" t="str">
        <x:f aca="false">IF(OR($L47="",$L47=0,$H47="",$I47=""),"",((100/$L47)-1)/(ABS($H47-$I47)/$H47*100))</x:f>
        <x:v/>
      </x:c>
      <x:c r="V47" s="42" t="str">
        <x:f aca="false">IFERROR(VALUE(LEFT($B47,2)),"")</x:f>
        <x:v/>
      </x:c>
      <x:c r="W47" s="2"/>
    </x:row>
    <x:row r="48" customFormat="false" ht="15" hidden="false" customHeight="false" outlineLevel="0" collapsed="false">
      <x:c r="A48" s="43"/>
      <x:c r="B48" s="44"/>
      <x:c r="C48" s="45"/>
      <x:c r="D48" s="45"/>
      <x:c r="E48" s="45"/>
      <x:c r="F48" s="45"/>
      <x:c r="G48" s="45"/>
      <x:c r="H48" s="46"/>
      <x:c r="I48" s="46"/>
      <x:c r="J48" s="46"/>
      <x:c r="K48" s="47"/>
      <x:c r="L48" s="48"/>
      <x:c r="M48" s="45"/>
      <x:c r="N48" s="49"/>
      <x:c r="O48" s="50"/>
      <x:c r="P48" s="51"/>
      <x:c r="Q48" s="52"/>
      <x:c r="R48" s="38" t="str">
        <x:f aca="false">IF(OR($G48&lt;&gt;"Yes",$H48="",$I48="",$K48=""),"",ABS($H48-$I48)*$K48)</x:f>
        <x:v/>
      </x:c>
      <x:c r="S48" s="39" t="str">
        <x:f aca="false">IF(OR($G48&lt;&gt;"Yes",$H48="",$J48="",$K48=""),"",IF($F48="Short",$H48-$J48,$J48-$H48)*$K48-($H48+$J48)*$K48*Dashboard!$D$5/100)</x:f>
        <x:v/>
      </x:c>
      <x:c r="T48" s="40" t="str">
        <x:f aca="false">IF(OR($S48="",$R48="",$R48=0),"",$S48/$R48)</x:f>
        <x:v/>
      </x:c>
      <x:c r="U48" s="41" t="str">
        <x:f aca="false">IF(OR($L48="",$L48=0,$H48="",$I48=""),"",((100/$L48)-1)/(ABS($H48-$I48)/$H48*100))</x:f>
        <x:v/>
      </x:c>
      <x:c r="V48" s="42" t="str">
        <x:f aca="false">IFERROR(VALUE(LEFT($B48,2)),"")</x:f>
        <x:v/>
      </x:c>
      <x:c r="W48" s="2"/>
    </x:row>
    <x:row r="49" customFormat="false" ht="15" hidden="false" customHeight="false" outlineLevel="0" collapsed="false">
      <x:c r="A49" s="43"/>
      <x:c r="B49" s="44"/>
      <x:c r="C49" s="45"/>
      <x:c r="D49" s="45"/>
      <x:c r="E49" s="45"/>
      <x:c r="F49" s="45"/>
      <x:c r="G49" s="45"/>
      <x:c r="H49" s="46"/>
      <x:c r="I49" s="46"/>
      <x:c r="J49" s="46"/>
      <x:c r="K49" s="47"/>
      <x:c r="L49" s="48"/>
      <x:c r="M49" s="45"/>
      <x:c r="N49" s="49"/>
      <x:c r="O49" s="50"/>
      <x:c r="P49" s="51"/>
      <x:c r="Q49" s="52"/>
      <x:c r="R49" s="38" t="str">
        <x:f aca="false">IF(OR($G49&lt;&gt;"Yes",$H49="",$I49="",$K49=""),"",ABS($H49-$I49)*$K49)</x:f>
        <x:v/>
      </x:c>
      <x:c r="S49" s="39" t="str">
        <x:f aca="false">IF(OR($G49&lt;&gt;"Yes",$H49="",$J49="",$K49=""),"",IF($F49="Short",$H49-$J49,$J49-$H49)*$K49-($H49+$J49)*$K49*Dashboard!$D$5/100)</x:f>
        <x:v/>
      </x:c>
      <x:c r="T49" s="40" t="str">
        <x:f aca="false">IF(OR($S49="",$R49="",$R49=0),"",$S49/$R49)</x:f>
        <x:v/>
      </x:c>
      <x:c r="U49" s="41" t="str">
        <x:f aca="false">IF(OR($L49="",$L49=0,$H49="",$I49=""),"",((100/$L49)-1)/(ABS($H49-$I49)/$H49*100))</x:f>
        <x:v/>
      </x:c>
      <x:c r="V49" s="42" t="str">
        <x:f aca="false">IFERROR(VALUE(LEFT($B49,2)),"")</x:f>
        <x:v/>
      </x:c>
      <x:c r="W49" s="2"/>
    </x:row>
    <x:row r="50" customFormat="false" ht="15" hidden="false" customHeight="false" outlineLevel="0" collapsed="false">
      <x:c r="A50" s="43"/>
      <x:c r="B50" s="44"/>
      <x:c r="C50" s="45"/>
      <x:c r="D50" s="45"/>
      <x:c r="E50" s="45"/>
      <x:c r="F50" s="45"/>
      <x:c r="G50" s="45"/>
      <x:c r="H50" s="46"/>
      <x:c r="I50" s="46"/>
      <x:c r="J50" s="46"/>
      <x:c r="K50" s="47"/>
      <x:c r="L50" s="48"/>
      <x:c r="M50" s="45"/>
      <x:c r="N50" s="49"/>
      <x:c r="O50" s="50"/>
      <x:c r="P50" s="51"/>
      <x:c r="Q50" s="52"/>
      <x:c r="R50" s="38" t="str">
        <x:f aca="false">IF(OR($G50&lt;&gt;"Yes",$H50="",$I50="",$K50=""),"",ABS($H50-$I50)*$K50)</x:f>
        <x:v/>
      </x:c>
      <x:c r="S50" s="39" t="str">
        <x:f aca="false">IF(OR($G50&lt;&gt;"Yes",$H50="",$J50="",$K50=""),"",IF($F50="Short",$H50-$J50,$J50-$H50)*$K50-($H50+$J50)*$K50*Dashboard!$D$5/100)</x:f>
        <x:v/>
      </x:c>
      <x:c r="T50" s="40" t="str">
        <x:f aca="false">IF(OR($S50="",$R50="",$R50=0),"",$S50/$R50)</x:f>
        <x:v/>
      </x:c>
      <x:c r="U50" s="41" t="str">
        <x:f aca="false">IF(OR($L50="",$L50=0,$H50="",$I50=""),"",((100/$L50)-1)/(ABS($H50-$I50)/$H50*100))</x:f>
        <x:v/>
      </x:c>
      <x:c r="V50" s="42" t="str">
        <x:f aca="false">IFERROR(VALUE(LEFT($B50,2)),"")</x:f>
        <x:v/>
      </x:c>
      <x:c r="W50" s="2"/>
    </x:row>
    <x:row r="51" customFormat="false" ht="15" hidden="false" customHeight="false" outlineLevel="0" collapsed="false">
      <x:c r="A51" s="43"/>
      <x:c r="B51" s="44"/>
      <x:c r="C51" s="45"/>
      <x:c r="D51" s="45"/>
      <x:c r="E51" s="45"/>
      <x:c r="F51" s="45"/>
      <x:c r="G51" s="45"/>
      <x:c r="H51" s="46"/>
      <x:c r="I51" s="46"/>
      <x:c r="J51" s="46"/>
      <x:c r="K51" s="47"/>
      <x:c r="L51" s="48"/>
      <x:c r="M51" s="45"/>
      <x:c r="N51" s="49"/>
      <x:c r="O51" s="50"/>
      <x:c r="P51" s="51"/>
      <x:c r="Q51" s="52"/>
      <x:c r="R51" s="38" t="str">
        <x:f aca="false">IF(OR($G51&lt;&gt;"Yes",$H51="",$I51="",$K51=""),"",ABS($H51-$I51)*$K51)</x:f>
        <x:v/>
      </x:c>
      <x:c r="S51" s="39" t="str">
        <x:f aca="false">IF(OR($G51&lt;&gt;"Yes",$H51="",$J51="",$K51=""),"",IF($F51="Short",$H51-$J51,$J51-$H51)*$K51-($H51+$J51)*$K51*Dashboard!$D$5/100)</x:f>
        <x:v/>
      </x:c>
      <x:c r="T51" s="40" t="str">
        <x:f aca="false">IF(OR($S51="",$R51="",$R51=0),"",$S51/$R51)</x:f>
        <x:v/>
      </x:c>
      <x:c r="U51" s="41" t="str">
        <x:f aca="false">IF(OR($L51="",$L51=0,$H51="",$I51=""),"",((100/$L51)-1)/(ABS($H51-$I51)/$H51*100))</x:f>
        <x:v/>
      </x:c>
      <x:c r="V51" s="42" t="str">
        <x:f aca="false">IFERROR(VALUE(LEFT($B51,2)),"")</x:f>
        <x:v/>
      </x:c>
      <x:c r="W51" s="2"/>
    </x:row>
    <x:row r="52" customFormat="false" ht="15" hidden="false" customHeight="false" outlineLevel="0" collapsed="false">
      <x:c r="A52" s="43"/>
      <x:c r="B52" s="44"/>
      <x:c r="C52" s="45"/>
      <x:c r="D52" s="45"/>
      <x:c r="E52" s="45"/>
      <x:c r="F52" s="45"/>
      <x:c r="G52" s="45"/>
      <x:c r="H52" s="46"/>
      <x:c r="I52" s="46"/>
      <x:c r="J52" s="46"/>
      <x:c r="K52" s="47"/>
      <x:c r="L52" s="48"/>
      <x:c r="M52" s="45"/>
      <x:c r="N52" s="49"/>
      <x:c r="O52" s="50"/>
      <x:c r="P52" s="51"/>
      <x:c r="Q52" s="52"/>
      <x:c r="R52" s="38" t="str">
        <x:f aca="false">IF(OR($G52&lt;&gt;"Yes",$H52="",$I52="",$K52=""),"",ABS($H52-$I52)*$K52)</x:f>
        <x:v/>
      </x:c>
      <x:c r="S52" s="39" t="str">
        <x:f aca="false">IF(OR($G52&lt;&gt;"Yes",$H52="",$J52="",$K52=""),"",IF($F52="Short",$H52-$J52,$J52-$H52)*$K52-($H52+$J52)*$K52*Dashboard!$D$5/100)</x:f>
        <x:v/>
      </x:c>
      <x:c r="T52" s="40" t="str">
        <x:f aca="false">IF(OR($S52="",$R52="",$R52=0),"",$S52/$R52)</x:f>
        <x:v/>
      </x:c>
      <x:c r="U52" s="41" t="str">
        <x:f aca="false">IF(OR($L52="",$L52=0,$H52="",$I52=""),"",((100/$L52)-1)/(ABS($H52-$I52)/$H52*100))</x:f>
        <x:v/>
      </x:c>
      <x:c r="V52" s="42" t="str">
        <x:f aca="false">IFERROR(VALUE(LEFT($B52,2)),"")</x:f>
        <x:v/>
      </x:c>
      <x:c r="W52" s="2"/>
    </x:row>
    <x:row r="53" customFormat="false" ht="15" hidden="false" customHeight="false" outlineLevel="0" collapsed="false">
      <x:c r="A53" s="43"/>
      <x:c r="B53" s="44"/>
      <x:c r="C53" s="45"/>
      <x:c r="D53" s="45"/>
      <x:c r="E53" s="45"/>
      <x:c r="F53" s="45"/>
      <x:c r="G53" s="45"/>
      <x:c r="H53" s="46"/>
      <x:c r="I53" s="46"/>
      <x:c r="J53" s="46"/>
      <x:c r="K53" s="47"/>
      <x:c r="L53" s="48"/>
      <x:c r="M53" s="45"/>
      <x:c r="N53" s="49"/>
      <x:c r="O53" s="50"/>
      <x:c r="P53" s="51"/>
      <x:c r="Q53" s="52"/>
      <x:c r="R53" s="38" t="str">
        <x:f aca="false">IF(OR($G53&lt;&gt;"Yes",$H53="",$I53="",$K53=""),"",ABS($H53-$I53)*$K53)</x:f>
        <x:v/>
      </x:c>
      <x:c r="S53" s="39" t="str">
        <x:f aca="false">IF(OR($G53&lt;&gt;"Yes",$H53="",$J53="",$K53=""),"",IF($F53="Short",$H53-$J53,$J53-$H53)*$K53-($H53+$J53)*$K53*Dashboard!$D$5/100)</x:f>
        <x:v/>
      </x:c>
      <x:c r="T53" s="40" t="str">
        <x:f aca="false">IF(OR($S53="",$R53="",$R53=0),"",$S53/$R53)</x:f>
        <x:v/>
      </x:c>
      <x:c r="U53" s="41" t="str">
        <x:f aca="false">IF(OR($L53="",$L53=0,$H53="",$I53=""),"",((100/$L53)-1)/(ABS($H53-$I53)/$H53*100))</x:f>
        <x:v/>
      </x:c>
      <x:c r="V53" s="42" t="str">
        <x:f aca="false">IFERROR(VALUE(LEFT($B53,2)),"")</x:f>
        <x:v/>
      </x:c>
      <x:c r="W53" s="2"/>
    </x:row>
    <x:row r="54" customFormat="false" ht="15" hidden="false" customHeight="false" outlineLevel="0" collapsed="false">
      <x:c r="A54" s="43"/>
      <x:c r="B54" s="44"/>
      <x:c r="C54" s="45"/>
      <x:c r="D54" s="45"/>
      <x:c r="E54" s="45"/>
      <x:c r="F54" s="45"/>
      <x:c r="G54" s="45"/>
      <x:c r="H54" s="46"/>
      <x:c r="I54" s="46"/>
      <x:c r="J54" s="46"/>
      <x:c r="K54" s="47"/>
      <x:c r="L54" s="48"/>
      <x:c r="M54" s="45"/>
      <x:c r="N54" s="49"/>
      <x:c r="O54" s="50"/>
      <x:c r="P54" s="51"/>
      <x:c r="Q54" s="52"/>
      <x:c r="R54" s="38" t="str">
        <x:f aca="false">IF(OR($G54&lt;&gt;"Yes",$H54="",$I54="",$K54=""),"",ABS($H54-$I54)*$K54)</x:f>
        <x:v/>
      </x:c>
      <x:c r="S54" s="39" t="str">
        <x:f aca="false">IF(OR($G54&lt;&gt;"Yes",$H54="",$J54="",$K54=""),"",IF($F54="Short",$H54-$J54,$J54-$H54)*$K54-($H54+$J54)*$K54*Dashboard!$D$5/100)</x:f>
        <x:v/>
      </x:c>
      <x:c r="T54" s="40" t="str">
        <x:f aca="false">IF(OR($S54="",$R54="",$R54=0),"",$S54/$R54)</x:f>
        <x:v/>
      </x:c>
      <x:c r="U54" s="41" t="str">
        <x:f aca="false">IF(OR($L54="",$L54=0,$H54="",$I54=""),"",((100/$L54)-1)/(ABS($H54-$I54)/$H54*100))</x:f>
        <x:v/>
      </x:c>
      <x:c r="V54" s="42" t="str">
        <x:f aca="false">IFERROR(VALUE(LEFT($B54,2)),"")</x:f>
        <x:v/>
      </x:c>
      <x:c r="W54" s="2"/>
    </x:row>
    <x:row r="55" customFormat="false" ht="15" hidden="false" customHeight="false" outlineLevel="0" collapsed="false">
      <x:c r="A55" s="43"/>
      <x:c r="B55" s="44"/>
      <x:c r="C55" s="45"/>
      <x:c r="D55" s="45"/>
      <x:c r="E55" s="45"/>
      <x:c r="F55" s="45"/>
      <x:c r="G55" s="45"/>
      <x:c r="H55" s="46"/>
      <x:c r="I55" s="46"/>
      <x:c r="J55" s="46"/>
      <x:c r="K55" s="47"/>
      <x:c r="L55" s="48"/>
      <x:c r="M55" s="45"/>
      <x:c r="N55" s="49"/>
      <x:c r="O55" s="50"/>
      <x:c r="P55" s="51"/>
      <x:c r="Q55" s="52"/>
      <x:c r="R55" s="38" t="str">
        <x:f aca="false">IF(OR($G55&lt;&gt;"Yes",$H55="",$I55="",$K55=""),"",ABS($H55-$I55)*$K55)</x:f>
        <x:v/>
      </x:c>
      <x:c r="S55" s="39" t="str">
        <x:f aca="false">IF(OR($G55&lt;&gt;"Yes",$H55="",$J55="",$K55=""),"",IF($F55="Short",$H55-$J55,$J55-$H55)*$K55-($H55+$J55)*$K55*Dashboard!$D$5/100)</x:f>
        <x:v/>
      </x:c>
      <x:c r="T55" s="40" t="str">
        <x:f aca="false">IF(OR($S55="",$R55="",$R55=0),"",$S55/$R55)</x:f>
        <x:v/>
      </x:c>
      <x:c r="U55" s="41" t="str">
        <x:f aca="false">IF(OR($L55="",$L55=0,$H55="",$I55=""),"",((100/$L55)-1)/(ABS($H55-$I55)/$H55*100))</x:f>
        <x:v/>
      </x:c>
      <x:c r="V55" s="42" t="str">
        <x:f aca="false">IFERROR(VALUE(LEFT($B55,2)),"")</x:f>
        <x:v/>
      </x:c>
      <x:c r="W55" s="2"/>
    </x:row>
    <x:row r="56" customFormat="false" ht="15" hidden="false" customHeight="false" outlineLevel="0" collapsed="false">
      <x:c r="A56" s="43"/>
      <x:c r="B56" s="44"/>
      <x:c r="C56" s="45"/>
      <x:c r="D56" s="45"/>
      <x:c r="E56" s="45"/>
      <x:c r="F56" s="45"/>
      <x:c r="G56" s="45"/>
      <x:c r="H56" s="46"/>
      <x:c r="I56" s="46"/>
      <x:c r="J56" s="46"/>
      <x:c r="K56" s="47"/>
      <x:c r="L56" s="48"/>
      <x:c r="M56" s="45"/>
      <x:c r="N56" s="49"/>
      <x:c r="O56" s="50"/>
      <x:c r="P56" s="51"/>
      <x:c r="Q56" s="52"/>
      <x:c r="R56" s="38" t="str">
        <x:f aca="false">IF(OR($G56&lt;&gt;"Yes",$H56="",$I56="",$K56=""),"",ABS($H56-$I56)*$K56)</x:f>
        <x:v/>
      </x:c>
      <x:c r="S56" s="39" t="str">
        <x:f aca="false">IF(OR($G56&lt;&gt;"Yes",$H56="",$J56="",$K56=""),"",IF($F56="Short",$H56-$J56,$J56-$H56)*$K56-($H56+$J56)*$K56*Dashboard!$D$5/100)</x:f>
        <x:v/>
      </x:c>
      <x:c r="T56" s="40" t="str">
        <x:f aca="false">IF(OR($S56="",$R56="",$R56=0),"",$S56/$R56)</x:f>
        <x:v/>
      </x:c>
      <x:c r="U56" s="41" t="str">
        <x:f aca="false">IF(OR($L56="",$L56=0,$H56="",$I56=""),"",((100/$L56)-1)/(ABS($H56-$I56)/$H56*100))</x:f>
        <x:v/>
      </x:c>
      <x:c r="V56" s="42" t="str">
        <x:f aca="false">IFERROR(VALUE(LEFT($B56,2)),"")</x:f>
        <x:v/>
      </x:c>
      <x:c r="W56" s="2"/>
    </x:row>
    <x:row r="57" customFormat="false" ht="15" hidden="false" customHeight="false" outlineLevel="0" collapsed="false">
      <x:c r="A57" s="43"/>
      <x:c r="B57" s="44"/>
      <x:c r="C57" s="45"/>
      <x:c r="D57" s="45"/>
      <x:c r="E57" s="45"/>
      <x:c r="F57" s="45"/>
      <x:c r="G57" s="45"/>
      <x:c r="H57" s="46"/>
      <x:c r="I57" s="46"/>
      <x:c r="J57" s="46"/>
      <x:c r="K57" s="47"/>
      <x:c r="L57" s="48"/>
      <x:c r="M57" s="45"/>
      <x:c r="N57" s="49"/>
      <x:c r="O57" s="50"/>
      <x:c r="P57" s="51"/>
      <x:c r="Q57" s="52"/>
      <x:c r="R57" s="38" t="str">
        <x:f aca="false">IF(OR($G57&lt;&gt;"Yes",$H57="",$I57="",$K57=""),"",ABS($H57-$I57)*$K57)</x:f>
        <x:v/>
      </x:c>
      <x:c r="S57" s="39" t="str">
        <x:f aca="false">IF(OR($G57&lt;&gt;"Yes",$H57="",$J57="",$K57=""),"",IF($F57="Short",$H57-$J57,$J57-$H57)*$K57-($H57+$J57)*$K57*Dashboard!$D$5/100)</x:f>
        <x:v/>
      </x:c>
      <x:c r="T57" s="40" t="str">
        <x:f aca="false">IF(OR($S57="",$R57="",$R57=0),"",$S57/$R57)</x:f>
        <x:v/>
      </x:c>
      <x:c r="U57" s="41" t="str">
        <x:f aca="false">IF(OR($L57="",$L57=0,$H57="",$I57=""),"",((100/$L57)-1)/(ABS($H57-$I57)/$H57*100))</x:f>
        <x:v/>
      </x:c>
      <x:c r="V57" s="42" t="str">
        <x:f aca="false">IFERROR(VALUE(LEFT($B57,2)),"")</x:f>
        <x:v/>
      </x:c>
      <x:c r="W57" s="2"/>
    </x:row>
    <x:row r="58" customFormat="false" ht="15" hidden="false" customHeight="false" outlineLevel="0" collapsed="false">
      <x:c r="A58" s="43"/>
      <x:c r="B58" s="44"/>
      <x:c r="C58" s="45"/>
      <x:c r="D58" s="45"/>
      <x:c r="E58" s="45"/>
      <x:c r="F58" s="45"/>
      <x:c r="G58" s="45"/>
      <x:c r="H58" s="46"/>
      <x:c r="I58" s="46"/>
      <x:c r="J58" s="46"/>
      <x:c r="K58" s="47"/>
      <x:c r="L58" s="48"/>
      <x:c r="M58" s="45"/>
      <x:c r="N58" s="49"/>
      <x:c r="O58" s="50"/>
      <x:c r="P58" s="51"/>
      <x:c r="Q58" s="52"/>
      <x:c r="R58" s="38" t="str">
        <x:f aca="false">IF(OR($G58&lt;&gt;"Yes",$H58="",$I58="",$K58=""),"",ABS($H58-$I58)*$K58)</x:f>
        <x:v/>
      </x:c>
      <x:c r="S58" s="39" t="str">
        <x:f aca="false">IF(OR($G58&lt;&gt;"Yes",$H58="",$J58="",$K58=""),"",IF($F58="Short",$H58-$J58,$J58-$H58)*$K58-($H58+$J58)*$K58*Dashboard!$D$5/100)</x:f>
        <x:v/>
      </x:c>
      <x:c r="T58" s="40" t="str">
        <x:f aca="false">IF(OR($S58="",$R58="",$R58=0),"",$S58/$R58)</x:f>
        <x:v/>
      </x:c>
      <x:c r="U58" s="41" t="str">
        <x:f aca="false">IF(OR($L58="",$L58=0,$H58="",$I58=""),"",((100/$L58)-1)/(ABS($H58-$I58)/$H58*100))</x:f>
        <x:v/>
      </x:c>
      <x:c r="V58" s="42" t="str">
        <x:f aca="false">IFERROR(VALUE(LEFT($B58,2)),"")</x:f>
        <x:v/>
      </x:c>
      <x:c r="W58" s="2"/>
    </x:row>
    <x:row r="59" customFormat="false" ht="15" hidden="false" customHeight="false" outlineLevel="0" collapsed="false">
      <x:c r="A59" s="43"/>
      <x:c r="B59" s="44"/>
      <x:c r="C59" s="45"/>
      <x:c r="D59" s="45"/>
      <x:c r="E59" s="45"/>
      <x:c r="F59" s="45"/>
      <x:c r="G59" s="45"/>
      <x:c r="H59" s="46"/>
      <x:c r="I59" s="46"/>
      <x:c r="J59" s="46"/>
      <x:c r="K59" s="47"/>
      <x:c r="L59" s="48"/>
      <x:c r="M59" s="45"/>
      <x:c r="N59" s="49"/>
      <x:c r="O59" s="50"/>
      <x:c r="P59" s="51"/>
      <x:c r="Q59" s="52"/>
      <x:c r="R59" s="38" t="str">
        <x:f aca="false">IF(OR($G59&lt;&gt;"Yes",$H59="",$I59="",$K59=""),"",ABS($H59-$I59)*$K59)</x:f>
        <x:v/>
      </x:c>
      <x:c r="S59" s="39" t="str">
        <x:f aca="false">IF(OR($G59&lt;&gt;"Yes",$H59="",$J59="",$K59=""),"",IF($F59="Short",$H59-$J59,$J59-$H59)*$K59-($H59+$J59)*$K59*Dashboard!$D$5/100)</x:f>
        <x:v/>
      </x:c>
      <x:c r="T59" s="40" t="str">
        <x:f aca="false">IF(OR($S59="",$R59="",$R59=0),"",$S59/$R59)</x:f>
        <x:v/>
      </x:c>
      <x:c r="U59" s="41" t="str">
        <x:f aca="false">IF(OR($L59="",$L59=0,$H59="",$I59=""),"",((100/$L59)-1)/(ABS($H59-$I59)/$H59*100))</x:f>
        <x:v/>
      </x:c>
      <x:c r="V59" s="42" t="str">
        <x:f aca="false">IFERROR(VALUE(LEFT($B59,2)),"")</x:f>
        <x:v/>
      </x:c>
      <x:c r="W59" s="2"/>
    </x:row>
    <x:row r="60" customFormat="false" ht="15" hidden="false" customHeight="false" outlineLevel="0" collapsed="false">
      <x:c r="A60" s="43"/>
      <x:c r="B60" s="44"/>
      <x:c r="C60" s="45"/>
      <x:c r="D60" s="45"/>
      <x:c r="E60" s="45"/>
      <x:c r="F60" s="45"/>
      <x:c r="G60" s="45"/>
      <x:c r="H60" s="46"/>
      <x:c r="I60" s="46"/>
      <x:c r="J60" s="46"/>
      <x:c r="K60" s="47"/>
      <x:c r="L60" s="48"/>
      <x:c r="M60" s="45"/>
      <x:c r="N60" s="49"/>
      <x:c r="O60" s="50"/>
      <x:c r="P60" s="51"/>
      <x:c r="Q60" s="52"/>
      <x:c r="R60" s="38" t="str">
        <x:f aca="false">IF(OR($G60&lt;&gt;"Yes",$H60="",$I60="",$K60=""),"",ABS($H60-$I60)*$K60)</x:f>
        <x:v/>
      </x:c>
      <x:c r="S60" s="39" t="str">
        <x:f aca="false">IF(OR($G60&lt;&gt;"Yes",$H60="",$J60="",$K60=""),"",IF($F60="Short",$H60-$J60,$J60-$H60)*$K60-($H60+$J60)*$K60*Dashboard!$D$5/100)</x:f>
        <x:v/>
      </x:c>
      <x:c r="T60" s="40" t="str">
        <x:f aca="false">IF(OR($S60="",$R60="",$R60=0),"",$S60/$R60)</x:f>
        <x:v/>
      </x:c>
      <x:c r="U60" s="41" t="str">
        <x:f aca="false">IF(OR($L60="",$L60=0,$H60="",$I60=""),"",((100/$L60)-1)/(ABS($H60-$I60)/$H60*100))</x:f>
        <x:v/>
      </x:c>
      <x:c r="V60" s="42" t="str">
        <x:f aca="false">IFERROR(VALUE(LEFT($B60,2)),"")</x:f>
        <x:v/>
      </x:c>
      <x:c r="W60" s="2"/>
    </x:row>
    <x:row r="61" customFormat="false" ht="15" hidden="false" customHeight="false" outlineLevel="0" collapsed="false">
      <x:c r="A61" s="43"/>
      <x:c r="B61" s="44"/>
      <x:c r="C61" s="45"/>
      <x:c r="D61" s="45"/>
      <x:c r="E61" s="45"/>
      <x:c r="F61" s="45"/>
      <x:c r="G61" s="45"/>
      <x:c r="H61" s="46"/>
      <x:c r="I61" s="46"/>
      <x:c r="J61" s="46"/>
      <x:c r="K61" s="47"/>
      <x:c r="L61" s="48"/>
      <x:c r="M61" s="45"/>
      <x:c r="N61" s="49"/>
      <x:c r="O61" s="50"/>
      <x:c r="P61" s="51"/>
      <x:c r="Q61" s="52"/>
      <x:c r="R61" s="38" t="str">
        <x:f aca="false">IF(OR($G61&lt;&gt;"Yes",$H61="",$I61="",$K61=""),"",ABS($H61-$I61)*$K61)</x:f>
        <x:v/>
      </x:c>
      <x:c r="S61" s="39" t="str">
        <x:f aca="false">IF(OR($G61&lt;&gt;"Yes",$H61="",$J61="",$K61=""),"",IF($F61="Short",$H61-$J61,$J61-$H61)*$K61-($H61+$J61)*$K61*Dashboard!$D$5/100)</x:f>
        <x:v/>
      </x:c>
      <x:c r="T61" s="40" t="str">
        <x:f aca="false">IF(OR($S61="",$R61="",$R61=0),"",$S61/$R61)</x:f>
        <x:v/>
      </x:c>
      <x:c r="U61" s="41" t="str">
        <x:f aca="false">IF(OR($L61="",$L61=0,$H61="",$I61=""),"",((100/$L61)-1)/(ABS($H61-$I61)/$H61*100))</x:f>
        <x:v/>
      </x:c>
      <x:c r="V61" s="42" t="str">
        <x:f aca="false">IFERROR(VALUE(LEFT($B61,2)),"")</x:f>
        <x:v/>
      </x:c>
      <x:c r="W61" s="2"/>
    </x:row>
    <x:row r="62" customFormat="false" ht="15" hidden="false" customHeight="false" outlineLevel="0" collapsed="false">
      <x:c r="A62" s="43"/>
      <x:c r="B62" s="44"/>
      <x:c r="C62" s="45"/>
      <x:c r="D62" s="45"/>
      <x:c r="E62" s="45"/>
      <x:c r="F62" s="45"/>
      <x:c r="G62" s="45"/>
      <x:c r="H62" s="46"/>
      <x:c r="I62" s="46"/>
      <x:c r="J62" s="46"/>
      <x:c r="K62" s="47"/>
      <x:c r="L62" s="48"/>
      <x:c r="M62" s="45"/>
      <x:c r="N62" s="49"/>
      <x:c r="O62" s="50"/>
      <x:c r="P62" s="51"/>
      <x:c r="Q62" s="52"/>
      <x:c r="R62" s="38" t="str">
        <x:f aca="false">IF(OR($G62&lt;&gt;"Yes",$H62="",$I62="",$K62=""),"",ABS($H62-$I62)*$K62)</x:f>
        <x:v/>
      </x:c>
      <x:c r="S62" s="39" t="str">
        <x:f aca="false">IF(OR($G62&lt;&gt;"Yes",$H62="",$J62="",$K62=""),"",IF($F62="Short",$H62-$J62,$J62-$H62)*$K62-($H62+$J62)*$K62*Dashboard!$D$5/100)</x:f>
        <x:v/>
      </x:c>
      <x:c r="T62" s="40" t="str">
        <x:f aca="false">IF(OR($S62="",$R62="",$R62=0),"",$S62/$R62)</x:f>
        <x:v/>
      </x:c>
      <x:c r="U62" s="41" t="str">
        <x:f aca="false">IF(OR($L62="",$L62=0,$H62="",$I62=""),"",((100/$L62)-1)/(ABS($H62-$I62)/$H62*100))</x:f>
        <x:v/>
      </x:c>
      <x:c r="V62" s="42" t="str">
        <x:f aca="false">IFERROR(VALUE(LEFT($B62,2)),"")</x:f>
        <x:v/>
      </x:c>
      <x:c r="W62" s="2"/>
    </x:row>
    <x:row r="63" customFormat="false" ht="15" hidden="false" customHeight="false" outlineLevel="0" collapsed="false">
      <x:c r="A63" s="43"/>
      <x:c r="B63" s="44"/>
      <x:c r="C63" s="45"/>
      <x:c r="D63" s="45"/>
      <x:c r="E63" s="45"/>
      <x:c r="F63" s="45"/>
      <x:c r="G63" s="45"/>
      <x:c r="H63" s="46"/>
      <x:c r="I63" s="46"/>
      <x:c r="J63" s="46"/>
      <x:c r="K63" s="47"/>
      <x:c r="L63" s="48"/>
      <x:c r="M63" s="45"/>
      <x:c r="N63" s="49"/>
      <x:c r="O63" s="50"/>
      <x:c r="P63" s="51"/>
      <x:c r="Q63" s="52"/>
      <x:c r="R63" s="38" t="str">
        <x:f aca="false">IF(OR($G63&lt;&gt;"Yes",$H63="",$I63="",$K63=""),"",ABS($H63-$I63)*$K63)</x:f>
        <x:v/>
      </x:c>
      <x:c r="S63" s="39" t="str">
        <x:f aca="false">IF(OR($G63&lt;&gt;"Yes",$H63="",$J63="",$K63=""),"",IF($F63="Short",$H63-$J63,$J63-$H63)*$K63-($H63+$J63)*$K63*Dashboard!$D$5/100)</x:f>
        <x:v/>
      </x:c>
      <x:c r="T63" s="40" t="str">
        <x:f aca="false">IF(OR($S63="",$R63="",$R63=0),"",$S63/$R63)</x:f>
        <x:v/>
      </x:c>
      <x:c r="U63" s="41" t="str">
        <x:f aca="false">IF(OR($L63="",$L63=0,$H63="",$I63=""),"",((100/$L63)-1)/(ABS($H63-$I63)/$H63*100))</x:f>
        <x:v/>
      </x:c>
      <x:c r="V63" s="42" t="str">
        <x:f aca="false">IFERROR(VALUE(LEFT($B63,2)),"")</x:f>
        <x:v/>
      </x:c>
      <x:c r="W63" s="2"/>
    </x:row>
    <x:row r="64" customFormat="false" ht="15" hidden="false" customHeight="false" outlineLevel="0" collapsed="false">
      <x:c r="A64" s="43"/>
      <x:c r="B64" s="44"/>
      <x:c r="C64" s="45"/>
      <x:c r="D64" s="45"/>
      <x:c r="E64" s="45"/>
      <x:c r="F64" s="45"/>
      <x:c r="G64" s="45"/>
      <x:c r="H64" s="46"/>
      <x:c r="I64" s="46"/>
      <x:c r="J64" s="46"/>
      <x:c r="K64" s="47"/>
      <x:c r="L64" s="48"/>
      <x:c r="M64" s="45"/>
      <x:c r="N64" s="49"/>
      <x:c r="O64" s="50"/>
      <x:c r="P64" s="51"/>
      <x:c r="Q64" s="52"/>
      <x:c r="R64" s="38" t="str">
        <x:f aca="false">IF(OR($G64&lt;&gt;"Yes",$H64="",$I64="",$K64=""),"",ABS($H64-$I64)*$K64)</x:f>
        <x:v/>
      </x:c>
      <x:c r="S64" s="39" t="str">
        <x:f aca="false">IF(OR($G64&lt;&gt;"Yes",$H64="",$J64="",$K64=""),"",IF($F64="Short",$H64-$J64,$J64-$H64)*$K64-($H64+$J64)*$K64*Dashboard!$D$5/100)</x:f>
        <x:v/>
      </x:c>
      <x:c r="T64" s="40" t="str">
        <x:f aca="false">IF(OR($S64="",$R64="",$R64=0),"",$S64/$R64)</x:f>
        <x:v/>
      </x:c>
      <x:c r="U64" s="41" t="str">
        <x:f aca="false">IF(OR($L64="",$L64=0,$H64="",$I64=""),"",((100/$L64)-1)/(ABS($H64-$I64)/$H64*100))</x:f>
        <x:v/>
      </x:c>
      <x:c r="V64" s="42" t="str">
        <x:f aca="false">IFERROR(VALUE(LEFT($B64,2)),"")</x:f>
        <x:v/>
      </x:c>
      <x:c r="W64" s="2"/>
    </x:row>
    <x:row r="65" customFormat="false" ht="15" hidden="false" customHeight="false" outlineLevel="0" collapsed="false">
      <x:c r="A65" s="43"/>
      <x:c r="B65" s="44"/>
      <x:c r="C65" s="45"/>
      <x:c r="D65" s="45"/>
      <x:c r="E65" s="45"/>
      <x:c r="F65" s="45"/>
      <x:c r="G65" s="45"/>
      <x:c r="H65" s="46"/>
      <x:c r="I65" s="46"/>
      <x:c r="J65" s="46"/>
      <x:c r="K65" s="47"/>
      <x:c r="L65" s="48"/>
      <x:c r="M65" s="45"/>
      <x:c r="N65" s="49"/>
      <x:c r="O65" s="50"/>
      <x:c r="P65" s="51"/>
      <x:c r="Q65" s="52"/>
      <x:c r="R65" s="38" t="str">
        <x:f aca="false">IF(OR($G65&lt;&gt;"Yes",$H65="",$I65="",$K65=""),"",ABS($H65-$I65)*$K65)</x:f>
        <x:v/>
      </x:c>
      <x:c r="S65" s="39" t="str">
        <x:f aca="false">IF(OR($G65&lt;&gt;"Yes",$H65="",$J65="",$K65=""),"",IF($F65="Short",$H65-$J65,$J65-$H65)*$K65-($H65+$J65)*$K65*Dashboard!$D$5/100)</x:f>
        <x:v/>
      </x:c>
      <x:c r="T65" s="40" t="str">
        <x:f aca="false">IF(OR($S65="",$R65="",$R65=0),"",$S65/$R65)</x:f>
        <x:v/>
      </x:c>
      <x:c r="U65" s="41" t="str">
        <x:f aca="false">IF(OR($L65="",$L65=0,$H65="",$I65=""),"",((100/$L65)-1)/(ABS($H65-$I65)/$H65*100))</x:f>
        <x:v/>
      </x:c>
      <x:c r="V65" s="42" t="str">
        <x:f aca="false">IFERROR(VALUE(LEFT($B65,2)),"")</x:f>
        <x:v/>
      </x:c>
      <x:c r="W65" s="2"/>
    </x:row>
    <x:row r="66" customFormat="false" ht="15" hidden="false" customHeight="false" outlineLevel="0" collapsed="false">
      <x:c r="A66" s="43"/>
      <x:c r="B66" s="44"/>
      <x:c r="C66" s="45"/>
      <x:c r="D66" s="45"/>
      <x:c r="E66" s="45"/>
      <x:c r="F66" s="45"/>
      <x:c r="G66" s="45"/>
      <x:c r="H66" s="46"/>
      <x:c r="I66" s="46"/>
      <x:c r="J66" s="46"/>
      <x:c r="K66" s="47"/>
      <x:c r="L66" s="48"/>
      <x:c r="M66" s="45"/>
      <x:c r="N66" s="49"/>
      <x:c r="O66" s="50"/>
      <x:c r="P66" s="51"/>
      <x:c r="Q66" s="52"/>
      <x:c r="R66" s="38" t="str">
        <x:f aca="false">IF(OR($G66&lt;&gt;"Yes",$H66="",$I66="",$K66=""),"",ABS($H66-$I66)*$K66)</x:f>
        <x:v/>
      </x:c>
      <x:c r="S66" s="39" t="str">
        <x:f aca="false">IF(OR($G66&lt;&gt;"Yes",$H66="",$J66="",$K66=""),"",IF($F66="Short",$H66-$J66,$J66-$H66)*$K66-($H66+$J66)*$K66*Dashboard!$D$5/100)</x:f>
        <x:v/>
      </x:c>
      <x:c r="T66" s="40" t="str">
        <x:f aca="false">IF(OR($S66="",$R66="",$R66=0),"",$S66/$R66)</x:f>
        <x:v/>
      </x:c>
      <x:c r="U66" s="41" t="str">
        <x:f aca="false">IF(OR($L66="",$L66=0,$H66="",$I66=""),"",((100/$L66)-1)/(ABS($H66-$I66)/$H66*100))</x:f>
        <x:v/>
      </x:c>
      <x:c r="V66" s="42" t="str">
        <x:f aca="false">IFERROR(VALUE(LEFT($B66,2)),"")</x:f>
        <x:v/>
      </x:c>
      <x:c r="W66" s="2"/>
    </x:row>
    <x:row r="67" customFormat="false" ht="15" hidden="false" customHeight="false" outlineLevel="0" collapsed="false">
      <x:c r="A67" s="43"/>
      <x:c r="B67" s="44"/>
      <x:c r="C67" s="45"/>
      <x:c r="D67" s="45"/>
      <x:c r="E67" s="45"/>
      <x:c r="F67" s="45"/>
      <x:c r="G67" s="45"/>
      <x:c r="H67" s="46"/>
      <x:c r="I67" s="46"/>
      <x:c r="J67" s="46"/>
      <x:c r="K67" s="47"/>
      <x:c r="L67" s="48"/>
      <x:c r="M67" s="45"/>
      <x:c r="N67" s="49"/>
      <x:c r="O67" s="50"/>
      <x:c r="P67" s="51"/>
      <x:c r="Q67" s="52"/>
      <x:c r="R67" s="38" t="str">
        <x:f aca="false">IF(OR($G67&lt;&gt;"Yes",$H67="",$I67="",$K67=""),"",ABS($H67-$I67)*$K67)</x:f>
        <x:v/>
      </x:c>
      <x:c r="S67" s="39" t="str">
        <x:f aca="false">IF(OR($G67&lt;&gt;"Yes",$H67="",$J67="",$K67=""),"",IF($F67="Short",$H67-$J67,$J67-$H67)*$K67-($H67+$J67)*$K67*Dashboard!$D$5/100)</x:f>
        <x:v/>
      </x:c>
      <x:c r="T67" s="40" t="str">
        <x:f aca="false">IF(OR($S67="",$R67="",$R67=0),"",$S67/$R67)</x:f>
        <x:v/>
      </x:c>
      <x:c r="U67" s="41" t="str">
        <x:f aca="false">IF(OR($L67="",$L67=0,$H67="",$I67=""),"",((100/$L67)-1)/(ABS($H67-$I67)/$H67*100))</x:f>
        <x:v/>
      </x:c>
      <x:c r="V67" s="42" t="str">
        <x:f aca="false">IFERROR(VALUE(LEFT($B67,2)),"")</x:f>
        <x:v/>
      </x:c>
      <x:c r="W67" s="2"/>
    </x:row>
    <x:row r="68" customFormat="false" ht="15" hidden="false" customHeight="false" outlineLevel="0" collapsed="false">
      <x:c r="A68" s="43"/>
      <x:c r="B68" s="44"/>
      <x:c r="C68" s="45"/>
      <x:c r="D68" s="45"/>
      <x:c r="E68" s="45"/>
      <x:c r="F68" s="45"/>
      <x:c r="G68" s="45"/>
      <x:c r="H68" s="46"/>
      <x:c r="I68" s="46"/>
      <x:c r="J68" s="46"/>
      <x:c r="K68" s="47"/>
      <x:c r="L68" s="48"/>
      <x:c r="M68" s="45"/>
      <x:c r="N68" s="49"/>
      <x:c r="O68" s="50"/>
      <x:c r="P68" s="51"/>
      <x:c r="Q68" s="52"/>
      <x:c r="R68" s="38" t="str">
        <x:f aca="false">IF(OR($G68&lt;&gt;"Yes",$H68="",$I68="",$K68=""),"",ABS($H68-$I68)*$K68)</x:f>
        <x:v/>
      </x:c>
      <x:c r="S68" s="39" t="str">
        <x:f aca="false">IF(OR($G68&lt;&gt;"Yes",$H68="",$J68="",$K68=""),"",IF($F68="Short",$H68-$J68,$J68-$H68)*$K68-($H68+$J68)*$K68*Dashboard!$D$5/100)</x:f>
        <x:v/>
      </x:c>
      <x:c r="T68" s="40" t="str">
        <x:f aca="false">IF(OR($S68="",$R68="",$R68=0),"",$S68/$R68)</x:f>
        <x:v/>
      </x:c>
      <x:c r="U68" s="41" t="str">
        <x:f aca="false">IF(OR($L68="",$L68=0,$H68="",$I68=""),"",((100/$L68)-1)/(ABS($H68-$I68)/$H68*100))</x:f>
        <x:v/>
      </x:c>
      <x:c r="V68" s="42" t="str">
        <x:f aca="false">IFERROR(VALUE(LEFT($B68,2)),"")</x:f>
        <x:v/>
      </x:c>
      <x:c r="W68" s="2"/>
    </x:row>
    <x:row r="69" customFormat="false" ht="15" hidden="false" customHeight="false" outlineLevel="0" collapsed="false">
      <x:c r="A69" s="43"/>
      <x:c r="B69" s="44"/>
      <x:c r="C69" s="45"/>
      <x:c r="D69" s="45"/>
      <x:c r="E69" s="45"/>
      <x:c r="F69" s="45"/>
      <x:c r="G69" s="45"/>
      <x:c r="H69" s="46"/>
      <x:c r="I69" s="46"/>
      <x:c r="J69" s="46"/>
      <x:c r="K69" s="47"/>
      <x:c r="L69" s="48"/>
      <x:c r="M69" s="45"/>
      <x:c r="N69" s="49"/>
      <x:c r="O69" s="50"/>
      <x:c r="P69" s="51"/>
      <x:c r="Q69" s="52"/>
      <x:c r="R69" s="38" t="str">
        <x:f aca="false">IF(OR($G69&lt;&gt;"Yes",$H69="",$I69="",$K69=""),"",ABS($H69-$I69)*$K69)</x:f>
        <x:v/>
      </x:c>
      <x:c r="S69" s="39" t="str">
        <x:f aca="false">IF(OR($G69&lt;&gt;"Yes",$H69="",$J69="",$K69=""),"",IF($F69="Short",$H69-$J69,$J69-$H69)*$K69-($H69+$J69)*$K69*Dashboard!$D$5/100)</x:f>
        <x:v/>
      </x:c>
      <x:c r="T69" s="40" t="str">
        <x:f aca="false">IF(OR($S69="",$R69="",$R69=0),"",$S69/$R69)</x:f>
        <x:v/>
      </x:c>
      <x:c r="U69" s="41" t="str">
        <x:f aca="false">IF(OR($L69="",$L69=0,$H69="",$I69=""),"",((100/$L69)-1)/(ABS($H69-$I69)/$H69*100))</x:f>
        <x:v/>
      </x:c>
      <x:c r="V69" s="42" t="str">
        <x:f aca="false">IFERROR(VALUE(LEFT($B69,2)),"")</x:f>
        <x:v/>
      </x:c>
      <x:c r="W69" s="2"/>
    </x:row>
    <x:row r="70" customFormat="false" ht="15" hidden="false" customHeight="false" outlineLevel="0" collapsed="false">
      <x:c r="A70" s="43"/>
      <x:c r="B70" s="44"/>
      <x:c r="C70" s="45"/>
      <x:c r="D70" s="45"/>
      <x:c r="E70" s="45"/>
      <x:c r="F70" s="45"/>
      <x:c r="G70" s="45"/>
      <x:c r="H70" s="46"/>
      <x:c r="I70" s="46"/>
      <x:c r="J70" s="46"/>
      <x:c r="K70" s="47"/>
      <x:c r="L70" s="48"/>
      <x:c r="M70" s="45"/>
      <x:c r="N70" s="49"/>
      <x:c r="O70" s="50"/>
      <x:c r="P70" s="51"/>
      <x:c r="Q70" s="52"/>
      <x:c r="R70" s="38" t="str">
        <x:f aca="false">IF(OR($G70&lt;&gt;"Yes",$H70="",$I70="",$K70=""),"",ABS($H70-$I70)*$K70)</x:f>
        <x:v/>
      </x:c>
      <x:c r="S70" s="39" t="str">
        <x:f aca="false">IF(OR($G70&lt;&gt;"Yes",$H70="",$J70="",$K70=""),"",IF($F70="Short",$H70-$J70,$J70-$H70)*$K70-($H70+$J70)*$K70*Dashboard!$D$5/100)</x:f>
        <x:v/>
      </x:c>
      <x:c r="T70" s="40" t="str">
        <x:f aca="false">IF(OR($S70="",$R70="",$R70=0),"",$S70/$R70)</x:f>
        <x:v/>
      </x:c>
      <x:c r="U70" s="41" t="str">
        <x:f aca="false">IF(OR($L70="",$L70=0,$H70="",$I70=""),"",((100/$L70)-1)/(ABS($H70-$I70)/$H70*100))</x:f>
        <x:v/>
      </x:c>
      <x:c r="V70" s="42" t="str">
        <x:f aca="false">IFERROR(VALUE(LEFT($B70,2)),"")</x:f>
        <x:v/>
      </x:c>
      <x:c r="W70" s="2"/>
    </x:row>
    <x:row r="71" customFormat="false" ht="15" hidden="false" customHeight="false" outlineLevel="0" collapsed="false">
      <x:c r="A71" s="43"/>
      <x:c r="B71" s="44"/>
      <x:c r="C71" s="45"/>
      <x:c r="D71" s="45"/>
      <x:c r="E71" s="45"/>
      <x:c r="F71" s="45"/>
      <x:c r="G71" s="45"/>
      <x:c r="H71" s="46"/>
      <x:c r="I71" s="46"/>
      <x:c r="J71" s="46"/>
      <x:c r="K71" s="47"/>
      <x:c r="L71" s="48"/>
      <x:c r="M71" s="45"/>
      <x:c r="N71" s="49"/>
      <x:c r="O71" s="50"/>
      <x:c r="P71" s="51"/>
      <x:c r="Q71" s="52"/>
      <x:c r="R71" s="38" t="str">
        <x:f aca="false">IF(OR($G71&lt;&gt;"Yes",$H71="",$I71="",$K71=""),"",ABS($H71-$I71)*$K71)</x:f>
        <x:v/>
      </x:c>
      <x:c r="S71" s="39" t="str">
        <x:f aca="false">IF(OR($G71&lt;&gt;"Yes",$H71="",$J71="",$K71=""),"",IF($F71="Short",$H71-$J71,$J71-$H71)*$K71-($H71+$J71)*$K71*Dashboard!$D$5/100)</x:f>
        <x:v/>
      </x:c>
      <x:c r="T71" s="40" t="str">
        <x:f aca="false">IF(OR($S71="",$R71="",$R71=0),"",$S71/$R71)</x:f>
        <x:v/>
      </x:c>
      <x:c r="U71" s="41" t="str">
        <x:f aca="false">IF(OR($L71="",$L71=0,$H71="",$I71=""),"",((100/$L71)-1)/(ABS($H71-$I71)/$H71*100))</x:f>
        <x:v/>
      </x:c>
      <x:c r="V71" s="42" t="str">
        <x:f aca="false">IFERROR(VALUE(LEFT($B71,2)),"")</x:f>
        <x:v/>
      </x:c>
      <x:c r="W71" s="2"/>
    </x:row>
    <x:row r="72" customFormat="false" ht="15" hidden="false" customHeight="false" outlineLevel="0" collapsed="false">
      <x:c r="A72" s="43"/>
      <x:c r="B72" s="44"/>
      <x:c r="C72" s="45"/>
      <x:c r="D72" s="45"/>
      <x:c r="E72" s="45"/>
      <x:c r="F72" s="45"/>
      <x:c r="G72" s="45"/>
      <x:c r="H72" s="46"/>
      <x:c r="I72" s="46"/>
      <x:c r="J72" s="46"/>
      <x:c r="K72" s="47"/>
      <x:c r="L72" s="48"/>
      <x:c r="M72" s="45"/>
      <x:c r="N72" s="49"/>
      <x:c r="O72" s="50"/>
      <x:c r="P72" s="51"/>
      <x:c r="Q72" s="52"/>
      <x:c r="R72" s="38" t="str">
        <x:f aca="false">IF(OR($G72&lt;&gt;"Yes",$H72="",$I72="",$K72=""),"",ABS($H72-$I72)*$K72)</x:f>
        <x:v/>
      </x:c>
      <x:c r="S72" s="39" t="str">
        <x:f aca="false">IF(OR($G72&lt;&gt;"Yes",$H72="",$J72="",$K72=""),"",IF($F72="Short",$H72-$J72,$J72-$H72)*$K72-($H72+$J72)*$K72*Dashboard!$D$5/100)</x:f>
        <x:v/>
      </x:c>
      <x:c r="T72" s="40" t="str">
        <x:f aca="false">IF(OR($S72="",$R72="",$R72=0),"",$S72/$R72)</x:f>
        <x:v/>
      </x:c>
      <x:c r="U72" s="41" t="str">
        <x:f aca="false">IF(OR($L72="",$L72=0,$H72="",$I72=""),"",((100/$L72)-1)/(ABS($H72-$I72)/$H72*100))</x:f>
        <x:v/>
      </x:c>
      <x:c r="V72" s="42" t="str">
        <x:f aca="false">IFERROR(VALUE(LEFT($B72,2)),"")</x:f>
        <x:v/>
      </x:c>
      <x:c r="W72" s="2"/>
    </x:row>
    <x:row r="73" customFormat="false" ht="15" hidden="false" customHeight="false" outlineLevel="0" collapsed="false">
      <x:c r="A73" s="43"/>
      <x:c r="B73" s="44"/>
      <x:c r="C73" s="45"/>
      <x:c r="D73" s="45"/>
      <x:c r="E73" s="45"/>
      <x:c r="F73" s="45"/>
      <x:c r="G73" s="45"/>
      <x:c r="H73" s="46"/>
      <x:c r="I73" s="46"/>
      <x:c r="J73" s="46"/>
      <x:c r="K73" s="47"/>
      <x:c r="L73" s="48"/>
      <x:c r="M73" s="45"/>
      <x:c r="N73" s="49"/>
      <x:c r="O73" s="50"/>
      <x:c r="P73" s="51"/>
      <x:c r="Q73" s="52"/>
      <x:c r="R73" s="38" t="str">
        <x:f aca="false">IF(OR($G73&lt;&gt;"Yes",$H73="",$I73="",$K73=""),"",ABS($H73-$I73)*$K73)</x:f>
        <x:v/>
      </x:c>
      <x:c r="S73" s="39" t="str">
        <x:f aca="false">IF(OR($G73&lt;&gt;"Yes",$H73="",$J73="",$K73=""),"",IF($F73="Short",$H73-$J73,$J73-$H73)*$K73-($H73+$J73)*$K73*Dashboard!$D$5/100)</x:f>
        <x:v/>
      </x:c>
      <x:c r="T73" s="40" t="str">
        <x:f aca="false">IF(OR($S73="",$R73="",$R73=0),"",$S73/$R73)</x:f>
        <x:v/>
      </x:c>
      <x:c r="U73" s="41" t="str">
        <x:f aca="false">IF(OR($L73="",$L73=0,$H73="",$I73=""),"",((100/$L73)-1)/(ABS($H73-$I73)/$H73*100))</x:f>
        <x:v/>
      </x:c>
      <x:c r="V73" s="42" t="str">
        <x:f aca="false">IFERROR(VALUE(LEFT($B73,2)),"")</x:f>
        <x:v/>
      </x:c>
      <x:c r="W73" s="2"/>
    </x:row>
    <x:row r="74" customFormat="false" ht="15" hidden="false" customHeight="false" outlineLevel="0" collapsed="false">
      <x:c r="A74" s="43"/>
      <x:c r="B74" s="44"/>
      <x:c r="C74" s="45"/>
      <x:c r="D74" s="45"/>
      <x:c r="E74" s="45"/>
      <x:c r="F74" s="45"/>
      <x:c r="G74" s="45"/>
      <x:c r="H74" s="46"/>
      <x:c r="I74" s="46"/>
      <x:c r="J74" s="46"/>
      <x:c r="K74" s="47"/>
      <x:c r="L74" s="48"/>
      <x:c r="M74" s="45"/>
      <x:c r="N74" s="49"/>
      <x:c r="O74" s="50"/>
      <x:c r="P74" s="51"/>
      <x:c r="Q74" s="52"/>
      <x:c r="R74" s="38" t="str">
        <x:f aca="false">IF(OR($G74&lt;&gt;"Yes",$H74="",$I74="",$K74=""),"",ABS($H74-$I74)*$K74)</x:f>
        <x:v/>
      </x:c>
      <x:c r="S74" s="39" t="str">
        <x:f aca="false">IF(OR($G74&lt;&gt;"Yes",$H74="",$J74="",$K74=""),"",IF($F74="Short",$H74-$J74,$J74-$H74)*$K74-($H74+$J74)*$K74*Dashboard!$D$5/100)</x:f>
        <x:v/>
      </x:c>
      <x:c r="T74" s="40" t="str">
        <x:f aca="false">IF(OR($S74="",$R74="",$R74=0),"",$S74/$R74)</x:f>
        <x:v/>
      </x:c>
      <x:c r="U74" s="41" t="str">
        <x:f aca="false">IF(OR($L74="",$L74=0,$H74="",$I74=""),"",((100/$L74)-1)/(ABS($H74-$I74)/$H74*100))</x:f>
        <x:v/>
      </x:c>
      <x:c r="V74" s="42" t="str">
        <x:f aca="false">IFERROR(VALUE(LEFT($B74,2)),"")</x:f>
        <x:v/>
      </x:c>
      <x:c r="W74" s="2"/>
    </x:row>
    <x:row r="75" customFormat="false" ht="15" hidden="false" customHeight="false" outlineLevel="0" collapsed="false">
      <x:c r="A75" s="43"/>
      <x:c r="B75" s="44"/>
      <x:c r="C75" s="45"/>
      <x:c r="D75" s="45"/>
      <x:c r="E75" s="45"/>
      <x:c r="F75" s="45"/>
      <x:c r="G75" s="45"/>
      <x:c r="H75" s="46"/>
      <x:c r="I75" s="46"/>
      <x:c r="J75" s="46"/>
      <x:c r="K75" s="47"/>
      <x:c r="L75" s="48"/>
      <x:c r="M75" s="45"/>
      <x:c r="N75" s="49"/>
      <x:c r="O75" s="50"/>
      <x:c r="P75" s="51"/>
      <x:c r="Q75" s="52"/>
      <x:c r="R75" s="38" t="str">
        <x:f aca="false">IF(OR($G75&lt;&gt;"Yes",$H75="",$I75="",$K75=""),"",ABS($H75-$I75)*$K75)</x:f>
        <x:v/>
      </x:c>
      <x:c r="S75" s="39" t="str">
        <x:f aca="false">IF(OR($G75&lt;&gt;"Yes",$H75="",$J75="",$K75=""),"",IF($F75="Short",$H75-$J75,$J75-$H75)*$K75-($H75+$J75)*$K75*Dashboard!$D$5/100)</x:f>
        <x:v/>
      </x:c>
      <x:c r="T75" s="40" t="str">
        <x:f aca="false">IF(OR($S75="",$R75="",$R75=0),"",$S75/$R75)</x:f>
        <x:v/>
      </x:c>
      <x:c r="U75" s="41" t="str">
        <x:f aca="false">IF(OR($L75="",$L75=0,$H75="",$I75=""),"",((100/$L75)-1)/(ABS($H75-$I75)/$H75*100))</x:f>
        <x:v/>
      </x:c>
      <x:c r="V75" s="42" t="str">
        <x:f aca="false">IFERROR(VALUE(LEFT($B75,2)),"")</x:f>
        <x:v/>
      </x:c>
      <x:c r="W75" s="2"/>
    </x:row>
    <x:row r="76" customFormat="false" ht="15" hidden="false" customHeight="false" outlineLevel="0" collapsed="false">
      <x:c r="A76" s="43"/>
      <x:c r="B76" s="44"/>
      <x:c r="C76" s="45"/>
      <x:c r="D76" s="45"/>
      <x:c r="E76" s="45"/>
      <x:c r="F76" s="45"/>
      <x:c r="G76" s="45"/>
      <x:c r="H76" s="46"/>
      <x:c r="I76" s="46"/>
      <x:c r="J76" s="46"/>
      <x:c r="K76" s="47"/>
      <x:c r="L76" s="48"/>
      <x:c r="M76" s="45"/>
      <x:c r="N76" s="49"/>
      <x:c r="O76" s="50"/>
      <x:c r="P76" s="51"/>
      <x:c r="Q76" s="52"/>
      <x:c r="R76" s="38" t="str">
        <x:f aca="false">IF(OR($G76&lt;&gt;"Yes",$H76="",$I76="",$K76=""),"",ABS($H76-$I76)*$K76)</x:f>
        <x:v/>
      </x:c>
      <x:c r="S76" s="39" t="str">
        <x:f aca="false">IF(OR($G76&lt;&gt;"Yes",$H76="",$J76="",$K76=""),"",IF($F76="Short",$H76-$J76,$J76-$H76)*$K76-($H76+$J76)*$K76*Dashboard!$D$5/100)</x:f>
        <x:v/>
      </x:c>
      <x:c r="T76" s="40" t="str">
        <x:f aca="false">IF(OR($S76="",$R76="",$R76=0),"",$S76/$R76)</x:f>
        <x:v/>
      </x:c>
      <x:c r="U76" s="41" t="str">
        <x:f aca="false">IF(OR($L76="",$L76=0,$H76="",$I76=""),"",((100/$L76)-1)/(ABS($H76-$I76)/$H76*100))</x:f>
        <x:v/>
      </x:c>
      <x:c r="V76" s="42" t="str">
        <x:f aca="false">IFERROR(VALUE(LEFT($B76,2)),"")</x:f>
        <x:v/>
      </x:c>
      <x:c r="W76" s="2"/>
    </x:row>
    <x:row r="77" customFormat="false" ht="15" hidden="false" customHeight="false" outlineLevel="0" collapsed="false">
      <x:c r="A77" s="43"/>
      <x:c r="B77" s="44"/>
      <x:c r="C77" s="45"/>
      <x:c r="D77" s="45"/>
      <x:c r="E77" s="45"/>
      <x:c r="F77" s="45"/>
      <x:c r="G77" s="45"/>
      <x:c r="H77" s="46"/>
      <x:c r="I77" s="46"/>
      <x:c r="J77" s="46"/>
      <x:c r="K77" s="47"/>
      <x:c r="L77" s="48"/>
      <x:c r="M77" s="45"/>
      <x:c r="N77" s="49"/>
      <x:c r="O77" s="50"/>
      <x:c r="P77" s="51"/>
      <x:c r="Q77" s="52"/>
      <x:c r="R77" s="38" t="str">
        <x:f aca="false">IF(OR($G77&lt;&gt;"Yes",$H77="",$I77="",$K77=""),"",ABS($H77-$I77)*$K77)</x:f>
        <x:v/>
      </x:c>
      <x:c r="S77" s="39" t="str">
        <x:f aca="false">IF(OR($G77&lt;&gt;"Yes",$H77="",$J77="",$K77=""),"",IF($F77="Short",$H77-$J77,$J77-$H77)*$K77-($H77+$J77)*$K77*Dashboard!$D$5/100)</x:f>
        <x:v/>
      </x:c>
      <x:c r="T77" s="40" t="str">
        <x:f aca="false">IF(OR($S77="",$R77="",$R77=0),"",$S77/$R77)</x:f>
        <x:v/>
      </x:c>
      <x:c r="U77" s="41" t="str">
        <x:f aca="false">IF(OR($L77="",$L77=0,$H77="",$I77=""),"",((100/$L77)-1)/(ABS($H77-$I77)/$H77*100))</x:f>
        <x:v/>
      </x:c>
      <x:c r="V77" s="42" t="str">
        <x:f aca="false">IFERROR(VALUE(LEFT($B77,2)),"")</x:f>
        <x:v/>
      </x:c>
      <x:c r="W77" s="2"/>
    </x:row>
    <x:row r="78" customFormat="false" ht="15" hidden="false" customHeight="false" outlineLevel="0" collapsed="false">
      <x:c r="A78" s="43"/>
      <x:c r="B78" s="44"/>
      <x:c r="C78" s="45"/>
      <x:c r="D78" s="45"/>
      <x:c r="E78" s="45"/>
      <x:c r="F78" s="45"/>
      <x:c r="G78" s="45"/>
      <x:c r="H78" s="46"/>
      <x:c r="I78" s="46"/>
      <x:c r="J78" s="46"/>
      <x:c r="K78" s="47"/>
      <x:c r="L78" s="48"/>
      <x:c r="M78" s="45"/>
      <x:c r="N78" s="49"/>
      <x:c r="O78" s="50"/>
      <x:c r="P78" s="51"/>
      <x:c r="Q78" s="52"/>
      <x:c r="R78" s="38" t="str">
        <x:f aca="false">IF(OR($G78&lt;&gt;"Yes",$H78="",$I78="",$K78=""),"",ABS($H78-$I78)*$K78)</x:f>
        <x:v/>
      </x:c>
      <x:c r="S78" s="39" t="str">
        <x:f aca="false">IF(OR($G78&lt;&gt;"Yes",$H78="",$J78="",$K78=""),"",IF($F78="Short",$H78-$J78,$J78-$H78)*$K78-($H78+$J78)*$K78*Dashboard!$D$5/100)</x:f>
        <x:v/>
      </x:c>
      <x:c r="T78" s="40" t="str">
        <x:f aca="false">IF(OR($S78="",$R78="",$R78=0),"",$S78/$R78)</x:f>
        <x:v/>
      </x:c>
      <x:c r="U78" s="41" t="str">
        <x:f aca="false">IF(OR($L78="",$L78=0,$H78="",$I78=""),"",((100/$L78)-1)/(ABS($H78-$I78)/$H78*100))</x:f>
        <x:v/>
      </x:c>
      <x:c r="V78" s="42" t="str">
        <x:f aca="false">IFERROR(VALUE(LEFT($B78,2)),"")</x:f>
        <x:v/>
      </x:c>
      <x:c r="W78" s="2"/>
    </x:row>
    <x:row r="79" customFormat="false" ht="15" hidden="false" customHeight="false" outlineLevel="0" collapsed="false">
      <x:c r="A79" s="43"/>
      <x:c r="B79" s="44"/>
      <x:c r="C79" s="45"/>
      <x:c r="D79" s="45"/>
      <x:c r="E79" s="45"/>
      <x:c r="F79" s="45"/>
      <x:c r="G79" s="45"/>
      <x:c r="H79" s="46"/>
      <x:c r="I79" s="46"/>
      <x:c r="J79" s="46"/>
      <x:c r="K79" s="47"/>
      <x:c r="L79" s="48"/>
      <x:c r="M79" s="45"/>
      <x:c r="N79" s="49"/>
      <x:c r="O79" s="50"/>
      <x:c r="P79" s="51"/>
      <x:c r="Q79" s="52"/>
      <x:c r="R79" s="38" t="str">
        <x:f aca="false">IF(OR($G79&lt;&gt;"Yes",$H79="",$I79="",$K79=""),"",ABS($H79-$I79)*$K79)</x:f>
        <x:v/>
      </x:c>
      <x:c r="S79" s="39" t="str">
        <x:f aca="false">IF(OR($G79&lt;&gt;"Yes",$H79="",$J79="",$K79=""),"",IF($F79="Short",$H79-$J79,$J79-$H79)*$K79-($H79+$J79)*$K79*Dashboard!$D$5/100)</x:f>
        <x:v/>
      </x:c>
      <x:c r="T79" s="40" t="str">
        <x:f aca="false">IF(OR($S79="",$R79="",$R79=0),"",$S79/$R79)</x:f>
        <x:v/>
      </x:c>
      <x:c r="U79" s="41" t="str">
        <x:f aca="false">IF(OR($L79="",$L79=0,$H79="",$I79=""),"",((100/$L79)-1)/(ABS($H79-$I79)/$H79*100))</x:f>
        <x:v/>
      </x:c>
      <x:c r="V79" s="42" t="str">
        <x:f aca="false">IFERROR(VALUE(LEFT($B79,2)),"")</x:f>
        <x:v/>
      </x:c>
      <x:c r="W79" s="2"/>
    </x:row>
    <x:row r="80" customFormat="false" ht="15" hidden="false" customHeight="false" outlineLevel="0" collapsed="false">
      <x:c r="A80" s="43"/>
      <x:c r="B80" s="44"/>
      <x:c r="C80" s="45"/>
      <x:c r="D80" s="45"/>
      <x:c r="E80" s="45"/>
      <x:c r="F80" s="45"/>
      <x:c r="G80" s="45"/>
      <x:c r="H80" s="46"/>
      <x:c r="I80" s="46"/>
      <x:c r="J80" s="46"/>
      <x:c r="K80" s="47"/>
      <x:c r="L80" s="48"/>
      <x:c r="M80" s="45"/>
      <x:c r="N80" s="49"/>
      <x:c r="O80" s="50"/>
      <x:c r="P80" s="51"/>
      <x:c r="Q80" s="52"/>
      <x:c r="R80" s="38" t="str">
        <x:f aca="false">IF(OR($G80&lt;&gt;"Yes",$H80="",$I80="",$K80=""),"",ABS($H80-$I80)*$K80)</x:f>
        <x:v/>
      </x:c>
      <x:c r="S80" s="39" t="str">
        <x:f aca="false">IF(OR($G80&lt;&gt;"Yes",$H80="",$J80="",$K80=""),"",IF($F80="Short",$H80-$J80,$J80-$H80)*$K80-($H80+$J80)*$K80*Dashboard!$D$5/100)</x:f>
        <x:v/>
      </x:c>
      <x:c r="T80" s="40" t="str">
        <x:f aca="false">IF(OR($S80="",$R80="",$R80=0),"",$S80/$R80)</x:f>
        <x:v/>
      </x:c>
      <x:c r="U80" s="41" t="str">
        <x:f aca="false">IF(OR($L80="",$L80=0,$H80="",$I80=""),"",((100/$L80)-1)/(ABS($H80-$I80)/$H80*100))</x:f>
        <x:v/>
      </x:c>
      <x:c r="V80" s="42" t="str">
        <x:f aca="false">IFERROR(VALUE(LEFT($B80,2)),"")</x:f>
        <x:v/>
      </x:c>
      <x:c r="W80" s="2"/>
    </x:row>
    <x:row r="81" customFormat="false" ht="15" hidden="false" customHeight="false" outlineLevel="0" collapsed="false">
      <x:c r="A81" s="43"/>
      <x:c r="B81" s="44"/>
      <x:c r="C81" s="45"/>
      <x:c r="D81" s="45"/>
      <x:c r="E81" s="45"/>
      <x:c r="F81" s="45"/>
      <x:c r="G81" s="45"/>
      <x:c r="H81" s="46"/>
      <x:c r="I81" s="46"/>
      <x:c r="J81" s="46"/>
      <x:c r="K81" s="47"/>
      <x:c r="L81" s="48"/>
      <x:c r="M81" s="45"/>
      <x:c r="N81" s="49"/>
      <x:c r="O81" s="50"/>
      <x:c r="P81" s="51"/>
      <x:c r="Q81" s="52"/>
      <x:c r="R81" s="38" t="str">
        <x:f aca="false">IF(OR($G81&lt;&gt;"Yes",$H81="",$I81="",$K81=""),"",ABS($H81-$I81)*$K81)</x:f>
        <x:v/>
      </x:c>
      <x:c r="S81" s="39" t="str">
        <x:f aca="false">IF(OR($G81&lt;&gt;"Yes",$H81="",$J81="",$K81=""),"",IF($F81="Short",$H81-$J81,$J81-$H81)*$K81-($H81+$J81)*$K81*Dashboard!$D$5/100)</x:f>
        <x:v/>
      </x:c>
      <x:c r="T81" s="40" t="str">
        <x:f aca="false">IF(OR($S81="",$R81="",$R81=0),"",$S81/$R81)</x:f>
        <x:v/>
      </x:c>
      <x:c r="U81" s="41" t="str">
        <x:f aca="false">IF(OR($L81="",$L81=0,$H81="",$I81=""),"",((100/$L81)-1)/(ABS($H81-$I81)/$H81*100))</x:f>
        <x:v/>
      </x:c>
      <x:c r="V81" s="42" t="str">
        <x:f aca="false">IFERROR(VALUE(LEFT($B81,2)),"")</x:f>
        <x:v/>
      </x:c>
      <x:c r="W81" s="2"/>
    </x:row>
    <x:row r="82" customFormat="false" ht="15" hidden="false" customHeight="false" outlineLevel="0" collapsed="false">
      <x:c r="A82" s="43"/>
      <x:c r="B82" s="44"/>
      <x:c r="C82" s="45"/>
      <x:c r="D82" s="45"/>
      <x:c r="E82" s="45"/>
      <x:c r="F82" s="45"/>
      <x:c r="G82" s="45"/>
      <x:c r="H82" s="46"/>
      <x:c r="I82" s="46"/>
      <x:c r="J82" s="46"/>
      <x:c r="K82" s="47"/>
      <x:c r="L82" s="48"/>
      <x:c r="M82" s="45"/>
      <x:c r="N82" s="49"/>
      <x:c r="O82" s="50"/>
      <x:c r="P82" s="51"/>
      <x:c r="Q82" s="52"/>
      <x:c r="R82" s="38" t="str">
        <x:f aca="false">IF(OR($G82&lt;&gt;"Yes",$H82="",$I82="",$K82=""),"",ABS($H82-$I82)*$K82)</x:f>
        <x:v/>
      </x:c>
      <x:c r="S82" s="39" t="str">
        <x:f aca="false">IF(OR($G82&lt;&gt;"Yes",$H82="",$J82="",$K82=""),"",IF($F82="Short",$H82-$J82,$J82-$H82)*$K82-($H82+$J82)*$K82*Dashboard!$D$5/100)</x:f>
        <x:v/>
      </x:c>
      <x:c r="T82" s="40" t="str">
        <x:f aca="false">IF(OR($S82="",$R82="",$R82=0),"",$S82/$R82)</x:f>
        <x:v/>
      </x:c>
      <x:c r="U82" s="41" t="str">
        <x:f aca="false">IF(OR($L82="",$L82=0,$H82="",$I82=""),"",((100/$L82)-1)/(ABS($H82-$I82)/$H82*100))</x:f>
        <x:v/>
      </x:c>
      <x:c r="V82" s="42" t="str">
        <x:f aca="false">IFERROR(VALUE(LEFT($B82,2)),"")</x:f>
        <x:v/>
      </x:c>
      <x:c r="W82" s="2"/>
    </x:row>
    <x:row r="83" customFormat="false" ht="15" hidden="false" customHeight="false" outlineLevel="0" collapsed="false">
      <x:c r="A83" s="43"/>
      <x:c r="B83" s="44"/>
      <x:c r="C83" s="45"/>
      <x:c r="D83" s="45"/>
      <x:c r="E83" s="45"/>
      <x:c r="F83" s="45"/>
      <x:c r="G83" s="45"/>
      <x:c r="H83" s="46"/>
      <x:c r="I83" s="46"/>
      <x:c r="J83" s="46"/>
      <x:c r="K83" s="47"/>
      <x:c r="L83" s="48"/>
      <x:c r="M83" s="45"/>
      <x:c r="N83" s="49"/>
      <x:c r="O83" s="50"/>
      <x:c r="P83" s="51"/>
      <x:c r="Q83" s="52"/>
      <x:c r="R83" s="38" t="str">
        <x:f aca="false">IF(OR($G83&lt;&gt;"Yes",$H83="",$I83="",$K83=""),"",ABS($H83-$I83)*$K83)</x:f>
        <x:v/>
      </x:c>
      <x:c r="S83" s="39" t="str">
        <x:f aca="false">IF(OR($G83&lt;&gt;"Yes",$H83="",$J83="",$K83=""),"",IF($F83="Short",$H83-$J83,$J83-$H83)*$K83-($H83+$J83)*$K83*Dashboard!$D$5/100)</x:f>
        <x:v/>
      </x:c>
      <x:c r="T83" s="40" t="str">
        <x:f aca="false">IF(OR($S83="",$R83="",$R83=0),"",$S83/$R83)</x:f>
        <x:v/>
      </x:c>
      <x:c r="U83" s="41" t="str">
        <x:f aca="false">IF(OR($L83="",$L83=0,$H83="",$I83=""),"",((100/$L83)-1)/(ABS($H83-$I83)/$H83*100))</x:f>
        <x:v/>
      </x:c>
      <x:c r="V83" s="42" t="str">
        <x:f aca="false">IFERROR(VALUE(LEFT($B83,2)),"")</x:f>
        <x:v/>
      </x:c>
      <x:c r="W83" s="2"/>
    </x:row>
    <x:row r="84" customFormat="false" ht="15" hidden="false" customHeight="false" outlineLevel="0" collapsed="false">
      <x:c r="A84" s="43"/>
      <x:c r="B84" s="44"/>
      <x:c r="C84" s="45"/>
      <x:c r="D84" s="45"/>
      <x:c r="E84" s="45"/>
      <x:c r="F84" s="45"/>
      <x:c r="G84" s="45"/>
      <x:c r="H84" s="46"/>
      <x:c r="I84" s="46"/>
      <x:c r="J84" s="46"/>
      <x:c r="K84" s="47"/>
      <x:c r="L84" s="48"/>
      <x:c r="M84" s="45"/>
      <x:c r="N84" s="49"/>
      <x:c r="O84" s="50"/>
      <x:c r="P84" s="51"/>
      <x:c r="Q84" s="52"/>
      <x:c r="R84" s="38" t="str">
        <x:f aca="false">IF(OR($G84&lt;&gt;"Yes",$H84="",$I84="",$K84=""),"",ABS($H84-$I84)*$K84)</x:f>
        <x:v/>
      </x:c>
      <x:c r="S84" s="39" t="str">
        <x:f aca="false">IF(OR($G84&lt;&gt;"Yes",$H84="",$J84="",$K84=""),"",IF($F84="Short",$H84-$J84,$J84-$H84)*$K84-($H84+$J84)*$K84*Dashboard!$D$5/100)</x:f>
        <x:v/>
      </x:c>
      <x:c r="T84" s="40" t="str">
        <x:f aca="false">IF(OR($S84="",$R84="",$R84=0),"",$S84/$R84)</x:f>
        <x:v/>
      </x:c>
      <x:c r="U84" s="41" t="str">
        <x:f aca="false">IF(OR($L84="",$L84=0,$H84="",$I84=""),"",((100/$L84)-1)/(ABS($H84-$I84)/$H84*100))</x:f>
        <x:v/>
      </x:c>
      <x:c r="V84" s="42" t="str">
        <x:f aca="false">IFERROR(VALUE(LEFT($B84,2)),"")</x:f>
        <x:v/>
      </x:c>
      <x:c r="W84" s="2"/>
    </x:row>
    <x:row r="85" customFormat="false" ht="15" hidden="false" customHeight="false" outlineLevel="0" collapsed="false">
      <x:c r="A85" s="43"/>
      <x:c r="B85" s="44"/>
      <x:c r="C85" s="45"/>
      <x:c r="D85" s="45"/>
      <x:c r="E85" s="45"/>
      <x:c r="F85" s="45"/>
      <x:c r="G85" s="45"/>
      <x:c r="H85" s="46"/>
      <x:c r="I85" s="46"/>
      <x:c r="J85" s="46"/>
      <x:c r="K85" s="47"/>
      <x:c r="L85" s="48"/>
      <x:c r="M85" s="45"/>
      <x:c r="N85" s="49"/>
      <x:c r="O85" s="50"/>
      <x:c r="P85" s="51"/>
      <x:c r="Q85" s="52"/>
      <x:c r="R85" s="38" t="str">
        <x:f aca="false">IF(OR($G85&lt;&gt;"Yes",$H85="",$I85="",$K85=""),"",ABS($H85-$I85)*$K85)</x:f>
        <x:v/>
      </x:c>
      <x:c r="S85" s="39" t="str">
        <x:f aca="false">IF(OR($G85&lt;&gt;"Yes",$H85="",$J85="",$K85=""),"",IF($F85="Short",$H85-$J85,$J85-$H85)*$K85-($H85+$J85)*$K85*Dashboard!$D$5/100)</x:f>
        <x:v/>
      </x:c>
      <x:c r="T85" s="40" t="str">
        <x:f aca="false">IF(OR($S85="",$R85="",$R85=0),"",$S85/$R85)</x:f>
        <x:v/>
      </x:c>
      <x:c r="U85" s="41" t="str">
        <x:f aca="false">IF(OR($L85="",$L85=0,$H85="",$I85=""),"",((100/$L85)-1)/(ABS($H85-$I85)/$H85*100))</x:f>
        <x:v/>
      </x:c>
      <x:c r="V85" s="42" t="str">
        <x:f aca="false">IFERROR(VALUE(LEFT($B85,2)),"")</x:f>
        <x:v/>
      </x:c>
      <x:c r="W85" s="2"/>
    </x:row>
    <x:row r="86" customFormat="false" ht="15" hidden="false" customHeight="false" outlineLevel="0" collapsed="false">
      <x:c r="A86" s="43"/>
      <x:c r="B86" s="44"/>
      <x:c r="C86" s="45"/>
      <x:c r="D86" s="45"/>
      <x:c r="E86" s="45"/>
      <x:c r="F86" s="45"/>
      <x:c r="G86" s="45"/>
      <x:c r="H86" s="46"/>
      <x:c r="I86" s="46"/>
      <x:c r="J86" s="46"/>
      <x:c r="K86" s="47"/>
      <x:c r="L86" s="48"/>
      <x:c r="M86" s="45"/>
      <x:c r="N86" s="49"/>
      <x:c r="O86" s="50"/>
      <x:c r="P86" s="51"/>
      <x:c r="Q86" s="52"/>
      <x:c r="R86" s="38" t="str">
        <x:f aca="false">IF(OR($G86&lt;&gt;"Yes",$H86="",$I86="",$K86=""),"",ABS($H86-$I86)*$K86)</x:f>
        <x:v/>
      </x:c>
      <x:c r="S86" s="39" t="str">
        <x:f aca="false">IF(OR($G86&lt;&gt;"Yes",$H86="",$J86="",$K86=""),"",IF($F86="Short",$H86-$J86,$J86-$H86)*$K86-($H86+$J86)*$K86*Dashboard!$D$5/100)</x:f>
        <x:v/>
      </x:c>
      <x:c r="T86" s="40" t="str">
        <x:f aca="false">IF(OR($S86="",$R86="",$R86=0),"",$S86/$R86)</x:f>
        <x:v/>
      </x:c>
      <x:c r="U86" s="41" t="str">
        <x:f aca="false">IF(OR($L86="",$L86=0,$H86="",$I86=""),"",((100/$L86)-1)/(ABS($H86-$I86)/$H86*100))</x:f>
        <x:v/>
      </x:c>
      <x:c r="V86" s="42" t="str">
        <x:f aca="false">IFERROR(VALUE(LEFT($B86,2)),"")</x:f>
        <x:v/>
      </x:c>
      <x:c r="W86" s="2"/>
    </x:row>
    <x:row r="87" customFormat="false" ht="15" hidden="false" customHeight="false" outlineLevel="0" collapsed="false">
      <x:c r="A87" s="43"/>
      <x:c r="B87" s="44"/>
      <x:c r="C87" s="45"/>
      <x:c r="D87" s="45"/>
      <x:c r="E87" s="45"/>
      <x:c r="F87" s="45"/>
      <x:c r="G87" s="45"/>
      <x:c r="H87" s="46"/>
      <x:c r="I87" s="46"/>
      <x:c r="J87" s="46"/>
      <x:c r="K87" s="47"/>
      <x:c r="L87" s="48"/>
      <x:c r="M87" s="45"/>
      <x:c r="N87" s="49"/>
      <x:c r="O87" s="50"/>
      <x:c r="P87" s="51"/>
      <x:c r="Q87" s="52"/>
      <x:c r="R87" s="38" t="str">
        <x:f aca="false">IF(OR($G87&lt;&gt;"Yes",$H87="",$I87="",$K87=""),"",ABS($H87-$I87)*$K87)</x:f>
        <x:v/>
      </x:c>
      <x:c r="S87" s="39" t="str">
        <x:f aca="false">IF(OR($G87&lt;&gt;"Yes",$H87="",$J87="",$K87=""),"",IF($F87="Short",$H87-$J87,$J87-$H87)*$K87-($H87+$J87)*$K87*Dashboard!$D$5/100)</x:f>
        <x:v/>
      </x:c>
      <x:c r="T87" s="40" t="str">
        <x:f aca="false">IF(OR($S87="",$R87="",$R87=0),"",$S87/$R87)</x:f>
        <x:v/>
      </x:c>
      <x:c r="U87" s="41" t="str">
        <x:f aca="false">IF(OR($L87="",$L87=0,$H87="",$I87=""),"",((100/$L87)-1)/(ABS($H87-$I87)/$H87*100))</x:f>
        <x:v/>
      </x:c>
      <x:c r="V87" s="42" t="str">
        <x:f aca="false">IFERROR(VALUE(LEFT($B87,2)),"")</x:f>
        <x:v/>
      </x:c>
      <x:c r="W87" s="2"/>
    </x:row>
    <x:row r="88" customFormat="false" ht="15" hidden="false" customHeight="false" outlineLevel="0" collapsed="false">
      <x:c r="A88" s="43"/>
      <x:c r="B88" s="44"/>
      <x:c r="C88" s="45"/>
      <x:c r="D88" s="45"/>
      <x:c r="E88" s="45"/>
      <x:c r="F88" s="45"/>
      <x:c r="G88" s="45"/>
      <x:c r="H88" s="46"/>
      <x:c r="I88" s="46"/>
      <x:c r="J88" s="46"/>
      <x:c r="K88" s="47"/>
      <x:c r="L88" s="48"/>
      <x:c r="M88" s="45"/>
      <x:c r="N88" s="49"/>
      <x:c r="O88" s="50"/>
      <x:c r="P88" s="51"/>
      <x:c r="Q88" s="52"/>
      <x:c r="R88" s="38" t="str">
        <x:f aca="false">IF(OR($G88&lt;&gt;"Yes",$H88="",$I88="",$K88=""),"",ABS($H88-$I88)*$K88)</x:f>
        <x:v/>
      </x:c>
      <x:c r="S88" s="39" t="str">
        <x:f aca="false">IF(OR($G88&lt;&gt;"Yes",$H88="",$J88="",$K88=""),"",IF($F88="Short",$H88-$J88,$J88-$H88)*$K88-($H88+$J88)*$K88*Dashboard!$D$5/100)</x:f>
        <x:v/>
      </x:c>
      <x:c r="T88" s="40" t="str">
        <x:f aca="false">IF(OR($S88="",$R88="",$R88=0),"",$S88/$R88)</x:f>
        <x:v/>
      </x:c>
      <x:c r="U88" s="41" t="str">
        <x:f aca="false">IF(OR($L88="",$L88=0,$H88="",$I88=""),"",((100/$L88)-1)/(ABS($H88-$I88)/$H88*100))</x:f>
        <x:v/>
      </x:c>
      <x:c r="V88" s="42" t="str">
        <x:f aca="false">IFERROR(VALUE(LEFT($B88,2)),"")</x:f>
        <x:v/>
      </x:c>
      <x:c r="W88" s="2"/>
    </x:row>
    <x:row r="89" customFormat="false" ht="15" hidden="false" customHeight="false" outlineLevel="0" collapsed="false">
      <x:c r="A89" s="43"/>
      <x:c r="B89" s="44"/>
      <x:c r="C89" s="45"/>
      <x:c r="D89" s="45"/>
      <x:c r="E89" s="45"/>
      <x:c r="F89" s="45"/>
      <x:c r="G89" s="45"/>
      <x:c r="H89" s="46"/>
      <x:c r="I89" s="46"/>
      <x:c r="J89" s="46"/>
      <x:c r="K89" s="47"/>
      <x:c r="L89" s="48"/>
      <x:c r="M89" s="45"/>
      <x:c r="N89" s="49"/>
      <x:c r="O89" s="50"/>
      <x:c r="P89" s="51"/>
      <x:c r="Q89" s="52"/>
      <x:c r="R89" s="38" t="str">
        <x:f aca="false">IF(OR($G89&lt;&gt;"Yes",$H89="",$I89="",$K89=""),"",ABS($H89-$I89)*$K89)</x:f>
        <x:v/>
      </x:c>
      <x:c r="S89" s="39" t="str">
        <x:f aca="false">IF(OR($G89&lt;&gt;"Yes",$H89="",$J89="",$K89=""),"",IF($F89="Short",$H89-$J89,$J89-$H89)*$K89-($H89+$J89)*$K89*Dashboard!$D$5/100)</x:f>
        <x:v/>
      </x:c>
      <x:c r="T89" s="40" t="str">
        <x:f aca="false">IF(OR($S89="",$R89="",$R89=0),"",$S89/$R89)</x:f>
        <x:v/>
      </x:c>
      <x:c r="U89" s="41" t="str">
        <x:f aca="false">IF(OR($L89="",$L89=0,$H89="",$I89=""),"",((100/$L89)-1)/(ABS($H89-$I89)/$H89*100))</x:f>
        <x:v/>
      </x:c>
      <x:c r="V89" s="42" t="str">
        <x:f aca="false">IFERROR(VALUE(LEFT($B89,2)),"")</x:f>
        <x:v/>
      </x:c>
      <x:c r="W89" s="2"/>
    </x:row>
    <x:row r="90" customFormat="false" ht="15" hidden="false" customHeight="false" outlineLevel="0" collapsed="false">
      <x:c r="A90" s="43"/>
      <x:c r="B90" s="44"/>
      <x:c r="C90" s="45"/>
      <x:c r="D90" s="45"/>
      <x:c r="E90" s="45"/>
      <x:c r="F90" s="45"/>
      <x:c r="G90" s="45"/>
      <x:c r="H90" s="46"/>
      <x:c r="I90" s="46"/>
      <x:c r="J90" s="46"/>
      <x:c r="K90" s="47"/>
      <x:c r="L90" s="48"/>
      <x:c r="M90" s="45"/>
      <x:c r="N90" s="49"/>
      <x:c r="O90" s="50"/>
      <x:c r="P90" s="51"/>
      <x:c r="Q90" s="52"/>
      <x:c r="R90" s="38" t="str">
        <x:f aca="false">IF(OR($G90&lt;&gt;"Yes",$H90="",$I90="",$K90=""),"",ABS($H90-$I90)*$K90)</x:f>
        <x:v/>
      </x:c>
      <x:c r="S90" s="39" t="str">
        <x:f aca="false">IF(OR($G90&lt;&gt;"Yes",$H90="",$J90="",$K90=""),"",IF($F90="Short",$H90-$J90,$J90-$H90)*$K90-($H90+$J90)*$K90*Dashboard!$D$5/100)</x:f>
        <x:v/>
      </x:c>
      <x:c r="T90" s="40" t="str">
        <x:f aca="false">IF(OR($S90="",$R90="",$R90=0),"",$S90/$R90)</x:f>
        <x:v/>
      </x:c>
      <x:c r="U90" s="41" t="str">
        <x:f aca="false">IF(OR($L90="",$L90=0,$H90="",$I90=""),"",((100/$L90)-1)/(ABS($H90-$I90)/$H90*100))</x:f>
        <x:v/>
      </x:c>
      <x:c r="V90" s="42" t="str">
        <x:f aca="false">IFERROR(VALUE(LEFT($B90,2)),"")</x:f>
        <x:v/>
      </x:c>
      <x:c r="W90" s="2"/>
    </x:row>
    <x:row r="91" customFormat="false" ht="15" hidden="false" customHeight="false" outlineLevel="0" collapsed="false">
      <x:c r="A91" s="43"/>
      <x:c r="B91" s="44"/>
      <x:c r="C91" s="45"/>
      <x:c r="D91" s="45"/>
      <x:c r="E91" s="45"/>
      <x:c r="F91" s="45"/>
      <x:c r="G91" s="45"/>
      <x:c r="H91" s="46"/>
      <x:c r="I91" s="46"/>
      <x:c r="J91" s="46"/>
      <x:c r="K91" s="47"/>
      <x:c r="L91" s="48"/>
      <x:c r="M91" s="45"/>
      <x:c r="N91" s="49"/>
      <x:c r="O91" s="50"/>
      <x:c r="P91" s="51"/>
      <x:c r="Q91" s="52"/>
      <x:c r="R91" s="38" t="str">
        <x:f aca="false">IF(OR($G91&lt;&gt;"Yes",$H91="",$I91="",$K91=""),"",ABS($H91-$I91)*$K91)</x:f>
        <x:v/>
      </x:c>
      <x:c r="S91" s="39" t="str">
        <x:f aca="false">IF(OR($G91&lt;&gt;"Yes",$H91="",$J91="",$K91=""),"",IF($F91="Short",$H91-$J91,$J91-$H91)*$K91-($H91+$J91)*$K91*Dashboard!$D$5/100)</x:f>
        <x:v/>
      </x:c>
      <x:c r="T91" s="40" t="str">
        <x:f aca="false">IF(OR($S91="",$R91="",$R91=0),"",$S91/$R91)</x:f>
        <x:v/>
      </x:c>
      <x:c r="U91" s="41" t="str">
        <x:f aca="false">IF(OR($L91="",$L91=0,$H91="",$I91=""),"",((100/$L91)-1)/(ABS($H91-$I91)/$H91*100))</x:f>
        <x:v/>
      </x:c>
      <x:c r="V91" s="42" t="str">
        <x:f aca="false">IFERROR(VALUE(LEFT($B91,2)),"")</x:f>
        <x:v/>
      </x:c>
      <x:c r="W91" s="2"/>
    </x:row>
    <x:row r="92" customFormat="false" ht="15" hidden="false" customHeight="false" outlineLevel="0" collapsed="false">
      <x:c r="A92" s="43"/>
      <x:c r="B92" s="44"/>
      <x:c r="C92" s="45"/>
      <x:c r="D92" s="45"/>
      <x:c r="E92" s="45"/>
      <x:c r="F92" s="45"/>
      <x:c r="G92" s="45"/>
      <x:c r="H92" s="46"/>
      <x:c r="I92" s="46"/>
      <x:c r="J92" s="46"/>
      <x:c r="K92" s="47"/>
      <x:c r="L92" s="48"/>
      <x:c r="M92" s="45"/>
      <x:c r="N92" s="49"/>
      <x:c r="O92" s="50"/>
      <x:c r="P92" s="51"/>
      <x:c r="Q92" s="52"/>
      <x:c r="R92" s="38" t="str">
        <x:f aca="false">IF(OR($G92&lt;&gt;"Yes",$H92="",$I92="",$K92=""),"",ABS($H92-$I92)*$K92)</x:f>
        <x:v/>
      </x:c>
      <x:c r="S92" s="39" t="str">
        <x:f aca="false">IF(OR($G92&lt;&gt;"Yes",$H92="",$J92="",$K92=""),"",IF($F92="Short",$H92-$J92,$J92-$H92)*$K92-($H92+$J92)*$K92*Dashboard!$D$5/100)</x:f>
        <x:v/>
      </x:c>
      <x:c r="T92" s="40" t="str">
        <x:f aca="false">IF(OR($S92="",$R92="",$R92=0),"",$S92/$R92)</x:f>
        <x:v/>
      </x:c>
      <x:c r="U92" s="41" t="str">
        <x:f aca="false">IF(OR($L92="",$L92=0,$H92="",$I92=""),"",((100/$L92)-1)/(ABS($H92-$I92)/$H92*100))</x:f>
        <x:v/>
      </x:c>
      <x:c r="V92" s="42" t="str">
        <x:f aca="false">IFERROR(VALUE(LEFT($B92,2)),"")</x:f>
        <x:v/>
      </x:c>
      <x:c r="W92" s="2"/>
    </x:row>
    <x:row r="93" customFormat="false" ht="15" hidden="false" customHeight="false" outlineLevel="0" collapsed="false">
      <x:c r="A93" s="43"/>
      <x:c r="B93" s="44"/>
      <x:c r="C93" s="45"/>
      <x:c r="D93" s="45"/>
      <x:c r="E93" s="45"/>
      <x:c r="F93" s="45"/>
      <x:c r="G93" s="45"/>
      <x:c r="H93" s="46"/>
      <x:c r="I93" s="46"/>
      <x:c r="J93" s="46"/>
      <x:c r="K93" s="47"/>
      <x:c r="L93" s="48"/>
      <x:c r="M93" s="45"/>
      <x:c r="N93" s="49"/>
      <x:c r="O93" s="50"/>
      <x:c r="P93" s="51"/>
      <x:c r="Q93" s="52"/>
      <x:c r="R93" s="38" t="str">
        <x:f aca="false">IF(OR($G93&lt;&gt;"Yes",$H93="",$I93="",$K93=""),"",ABS($H93-$I93)*$K93)</x:f>
        <x:v/>
      </x:c>
      <x:c r="S93" s="39" t="str">
        <x:f aca="false">IF(OR($G93&lt;&gt;"Yes",$H93="",$J93="",$K93=""),"",IF($F93="Short",$H93-$J93,$J93-$H93)*$K93-($H93+$J93)*$K93*Dashboard!$D$5/100)</x:f>
        <x:v/>
      </x:c>
      <x:c r="T93" s="40" t="str">
        <x:f aca="false">IF(OR($S93="",$R93="",$R93=0),"",$S93/$R93)</x:f>
        <x:v/>
      </x:c>
      <x:c r="U93" s="41" t="str">
        <x:f aca="false">IF(OR($L93="",$L93=0,$H93="",$I93=""),"",((100/$L93)-1)/(ABS($H93-$I93)/$H93*100))</x:f>
        <x:v/>
      </x:c>
      <x:c r="V93" s="42" t="str">
        <x:f aca="false">IFERROR(VALUE(LEFT($B93,2)),"")</x:f>
        <x:v/>
      </x:c>
      <x:c r="W93" s="2"/>
    </x:row>
    <x:row r="94" customFormat="false" ht="15" hidden="false" customHeight="false" outlineLevel="0" collapsed="false">
      <x:c r="A94" s="43"/>
      <x:c r="B94" s="44"/>
      <x:c r="C94" s="45"/>
      <x:c r="D94" s="45"/>
      <x:c r="E94" s="45"/>
      <x:c r="F94" s="45"/>
      <x:c r="G94" s="45"/>
      <x:c r="H94" s="46"/>
      <x:c r="I94" s="46"/>
      <x:c r="J94" s="46"/>
      <x:c r="K94" s="47"/>
      <x:c r="L94" s="48"/>
      <x:c r="M94" s="45"/>
      <x:c r="N94" s="49"/>
      <x:c r="O94" s="50"/>
      <x:c r="P94" s="51"/>
      <x:c r="Q94" s="52"/>
      <x:c r="R94" s="38" t="str">
        <x:f aca="false">IF(OR($G94&lt;&gt;"Yes",$H94="",$I94="",$K94=""),"",ABS($H94-$I94)*$K94)</x:f>
        <x:v/>
      </x:c>
      <x:c r="S94" s="39" t="str">
        <x:f aca="false">IF(OR($G94&lt;&gt;"Yes",$H94="",$J94="",$K94=""),"",IF($F94="Short",$H94-$J94,$J94-$H94)*$K94-($H94+$J94)*$K94*Dashboard!$D$5/100)</x:f>
        <x:v/>
      </x:c>
      <x:c r="T94" s="40" t="str">
        <x:f aca="false">IF(OR($S94="",$R94="",$R94=0),"",$S94/$R94)</x:f>
        <x:v/>
      </x:c>
      <x:c r="U94" s="41" t="str">
        <x:f aca="false">IF(OR($L94="",$L94=0,$H94="",$I94=""),"",((100/$L94)-1)/(ABS($H94-$I94)/$H94*100))</x:f>
        <x:v/>
      </x:c>
      <x:c r="V94" s="42" t="str">
        <x:f aca="false">IFERROR(VALUE(LEFT($B94,2)),"")</x:f>
        <x:v/>
      </x:c>
      <x:c r="W94" s="2"/>
    </x:row>
    <x:row r="95" customFormat="false" ht="15" hidden="false" customHeight="false" outlineLevel="0" collapsed="false">
      <x:c r="A95" s="43"/>
      <x:c r="B95" s="44"/>
      <x:c r="C95" s="45"/>
      <x:c r="D95" s="45"/>
      <x:c r="E95" s="45"/>
      <x:c r="F95" s="45"/>
      <x:c r="G95" s="45"/>
      <x:c r="H95" s="46"/>
      <x:c r="I95" s="46"/>
      <x:c r="J95" s="46"/>
      <x:c r="K95" s="47"/>
      <x:c r="L95" s="48"/>
      <x:c r="M95" s="45"/>
      <x:c r="N95" s="49"/>
      <x:c r="O95" s="50"/>
      <x:c r="P95" s="51"/>
      <x:c r="Q95" s="52"/>
      <x:c r="R95" s="38" t="str">
        <x:f aca="false">IF(OR($G95&lt;&gt;"Yes",$H95="",$I95="",$K95=""),"",ABS($H95-$I95)*$K95)</x:f>
        <x:v/>
      </x:c>
      <x:c r="S95" s="39" t="str">
        <x:f aca="false">IF(OR($G95&lt;&gt;"Yes",$H95="",$J95="",$K95=""),"",IF($F95="Short",$H95-$J95,$J95-$H95)*$K95-($H95+$J95)*$K95*Dashboard!$D$5/100)</x:f>
        <x:v/>
      </x:c>
      <x:c r="T95" s="40" t="str">
        <x:f aca="false">IF(OR($S95="",$R95="",$R95=0),"",$S95/$R95)</x:f>
        <x:v/>
      </x:c>
      <x:c r="U95" s="41" t="str">
        <x:f aca="false">IF(OR($L95="",$L95=0,$H95="",$I95=""),"",((100/$L95)-1)/(ABS($H95-$I95)/$H95*100))</x:f>
        <x:v/>
      </x:c>
      <x:c r="V95" s="42" t="str">
        <x:f aca="false">IFERROR(VALUE(LEFT($B95,2)),"")</x:f>
        <x:v/>
      </x:c>
      <x:c r="W95" s="2"/>
    </x:row>
    <x:row r="96" customFormat="false" ht="15" hidden="false" customHeight="false" outlineLevel="0" collapsed="false">
      <x:c r="A96" s="43"/>
      <x:c r="B96" s="44"/>
      <x:c r="C96" s="45"/>
      <x:c r="D96" s="45"/>
      <x:c r="E96" s="45"/>
      <x:c r="F96" s="45"/>
      <x:c r="G96" s="45"/>
      <x:c r="H96" s="46"/>
      <x:c r="I96" s="46"/>
      <x:c r="J96" s="46"/>
      <x:c r="K96" s="47"/>
      <x:c r="L96" s="48"/>
      <x:c r="M96" s="45"/>
      <x:c r="N96" s="49"/>
      <x:c r="O96" s="50"/>
      <x:c r="P96" s="51"/>
      <x:c r="Q96" s="52"/>
      <x:c r="R96" s="38" t="str">
        <x:f aca="false">IF(OR($G96&lt;&gt;"Yes",$H96="",$I96="",$K96=""),"",ABS($H96-$I96)*$K96)</x:f>
        <x:v/>
      </x:c>
      <x:c r="S96" s="39" t="str">
        <x:f aca="false">IF(OR($G96&lt;&gt;"Yes",$H96="",$J96="",$K96=""),"",IF($F96="Short",$H96-$J96,$J96-$H96)*$K96-($H96+$J96)*$K96*Dashboard!$D$5/100)</x:f>
        <x:v/>
      </x:c>
      <x:c r="T96" s="40" t="str">
        <x:f aca="false">IF(OR($S96="",$R96="",$R96=0),"",$S96/$R96)</x:f>
        <x:v/>
      </x:c>
      <x:c r="U96" s="41" t="str">
        <x:f aca="false">IF(OR($L96="",$L96=0,$H96="",$I96=""),"",((100/$L96)-1)/(ABS($H96-$I96)/$H96*100))</x:f>
        <x:v/>
      </x:c>
      <x:c r="V96" s="42" t="str">
        <x:f aca="false">IFERROR(VALUE(LEFT($B96,2)),"")</x:f>
        <x:v/>
      </x:c>
      <x:c r="W96" s="2"/>
    </x:row>
    <x:row r="97" customFormat="false" ht="15" hidden="false" customHeight="false" outlineLevel="0" collapsed="false">
      <x:c r="A97" s="43"/>
      <x:c r="B97" s="44"/>
      <x:c r="C97" s="45"/>
      <x:c r="D97" s="45"/>
      <x:c r="E97" s="45"/>
      <x:c r="F97" s="45"/>
      <x:c r="G97" s="45"/>
      <x:c r="H97" s="46"/>
      <x:c r="I97" s="46"/>
      <x:c r="J97" s="46"/>
      <x:c r="K97" s="47"/>
      <x:c r="L97" s="48"/>
      <x:c r="M97" s="45"/>
      <x:c r="N97" s="49"/>
      <x:c r="O97" s="50"/>
      <x:c r="P97" s="51"/>
      <x:c r="Q97" s="52"/>
      <x:c r="R97" s="38" t="str">
        <x:f aca="false">IF(OR($G97&lt;&gt;"Yes",$H97="",$I97="",$K97=""),"",ABS($H97-$I97)*$K97)</x:f>
        <x:v/>
      </x:c>
      <x:c r="S97" s="39" t="str">
        <x:f aca="false">IF(OR($G97&lt;&gt;"Yes",$H97="",$J97="",$K97=""),"",IF($F97="Short",$H97-$J97,$J97-$H97)*$K97-($H97+$J97)*$K97*Dashboard!$D$5/100)</x:f>
        <x:v/>
      </x:c>
      <x:c r="T97" s="40" t="str">
        <x:f aca="false">IF(OR($S97="",$R97="",$R97=0),"",$S97/$R97)</x:f>
        <x:v/>
      </x:c>
      <x:c r="U97" s="41" t="str">
        <x:f aca="false">IF(OR($L97="",$L97=0,$H97="",$I97=""),"",((100/$L97)-1)/(ABS($H97-$I97)/$H97*100))</x:f>
        <x:v/>
      </x:c>
      <x:c r="V97" s="42" t="str">
        <x:f aca="false">IFERROR(VALUE(LEFT($B97,2)),"")</x:f>
        <x:v/>
      </x:c>
      <x:c r="W97" s="2"/>
    </x:row>
    <x:row r="98" customFormat="false" ht="15" hidden="false" customHeight="false" outlineLevel="0" collapsed="false">
      <x:c r="A98" s="43"/>
      <x:c r="B98" s="44"/>
      <x:c r="C98" s="45"/>
      <x:c r="D98" s="45"/>
      <x:c r="E98" s="45"/>
      <x:c r="F98" s="45"/>
      <x:c r="G98" s="45"/>
      <x:c r="H98" s="46"/>
      <x:c r="I98" s="46"/>
      <x:c r="J98" s="46"/>
      <x:c r="K98" s="47"/>
      <x:c r="L98" s="48"/>
      <x:c r="M98" s="45"/>
      <x:c r="N98" s="49"/>
      <x:c r="O98" s="50"/>
      <x:c r="P98" s="51"/>
      <x:c r="Q98" s="52"/>
      <x:c r="R98" s="38" t="str">
        <x:f aca="false">IF(OR($G98&lt;&gt;"Yes",$H98="",$I98="",$K98=""),"",ABS($H98-$I98)*$K98)</x:f>
        <x:v/>
      </x:c>
      <x:c r="S98" s="39" t="str">
        <x:f aca="false">IF(OR($G98&lt;&gt;"Yes",$H98="",$J98="",$K98=""),"",IF($F98="Short",$H98-$J98,$J98-$H98)*$K98-($H98+$J98)*$K98*Dashboard!$D$5/100)</x:f>
        <x:v/>
      </x:c>
      <x:c r="T98" s="40" t="str">
        <x:f aca="false">IF(OR($S98="",$R98="",$R98=0),"",$S98/$R98)</x:f>
        <x:v/>
      </x:c>
      <x:c r="U98" s="41" t="str">
        <x:f aca="false">IF(OR($L98="",$L98=0,$H98="",$I98=""),"",((100/$L98)-1)/(ABS($H98-$I98)/$H98*100))</x:f>
        <x:v/>
      </x:c>
      <x:c r="V98" s="42" t="str">
        <x:f aca="false">IFERROR(VALUE(LEFT($B98,2)),"")</x:f>
        <x:v/>
      </x:c>
      <x:c r="W98" s="2"/>
    </x:row>
    <x:row r="99" customFormat="false" ht="15" hidden="false" customHeight="false" outlineLevel="0" collapsed="false">
      <x:c r="A99" s="43"/>
      <x:c r="B99" s="44"/>
      <x:c r="C99" s="45"/>
      <x:c r="D99" s="45"/>
      <x:c r="E99" s="45"/>
      <x:c r="F99" s="45"/>
      <x:c r="G99" s="45"/>
      <x:c r="H99" s="46"/>
      <x:c r="I99" s="46"/>
      <x:c r="J99" s="46"/>
      <x:c r="K99" s="47"/>
      <x:c r="L99" s="48"/>
      <x:c r="M99" s="45"/>
      <x:c r="N99" s="49"/>
      <x:c r="O99" s="50"/>
      <x:c r="P99" s="51"/>
      <x:c r="Q99" s="52"/>
      <x:c r="R99" s="38" t="str">
        <x:f aca="false">IF(OR($G99&lt;&gt;"Yes",$H99="",$I99="",$K99=""),"",ABS($H99-$I99)*$K99)</x:f>
        <x:v/>
      </x:c>
      <x:c r="S99" s="39" t="str">
        <x:f aca="false">IF(OR($G99&lt;&gt;"Yes",$H99="",$J99="",$K99=""),"",IF($F99="Short",$H99-$J99,$J99-$H99)*$K99-($H99+$J99)*$K99*Dashboard!$D$5/100)</x:f>
        <x:v/>
      </x:c>
      <x:c r="T99" s="40" t="str">
        <x:f aca="false">IF(OR($S99="",$R99="",$R99=0),"",$S99/$R99)</x:f>
        <x:v/>
      </x:c>
      <x:c r="U99" s="41" t="str">
        <x:f aca="false">IF(OR($L99="",$L99=0,$H99="",$I99=""),"",((100/$L99)-1)/(ABS($H99-$I99)/$H99*100))</x:f>
        <x:v/>
      </x:c>
      <x:c r="V99" s="42" t="str">
        <x:f aca="false">IFERROR(VALUE(LEFT($B99,2)),"")</x:f>
        <x:v/>
      </x:c>
      <x:c r="W99" s="2"/>
    </x:row>
    <x:row r="100" customFormat="false" ht="15" hidden="false" customHeight="false" outlineLevel="0" collapsed="false">
      <x:c r="A100" s="43"/>
      <x:c r="B100" s="44"/>
      <x:c r="C100" s="45"/>
      <x:c r="D100" s="45"/>
      <x:c r="E100" s="45"/>
      <x:c r="F100" s="45"/>
      <x:c r="G100" s="45"/>
      <x:c r="H100" s="46"/>
      <x:c r="I100" s="46"/>
      <x:c r="J100" s="46"/>
      <x:c r="K100" s="47"/>
      <x:c r="L100" s="48"/>
      <x:c r="M100" s="45"/>
      <x:c r="N100" s="49"/>
      <x:c r="O100" s="50"/>
      <x:c r="P100" s="51"/>
      <x:c r="Q100" s="52"/>
      <x:c r="R100" s="38" t="str">
        <x:f aca="false">IF(OR($G100&lt;&gt;"Yes",$H100="",$I100="",$K100=""),"",ABS($H100-$I100)*$K100)</x:f>
        <x:v/>
      </x:c>
      <x:c r="S100" s="39" t="str">
        <x:f aca="false">IF(OR($G100&lt;&gt;"Yes",$H100="",$J100="",$K100=""),"",IF($F100="Short",$H100-$J100,$J100-$H100)*$K100-($H100+$J100)*$K100*Dashboard!$D$5/100)</x:f>
        <x:v/>
      </x:c>
      <x:c r="T100" s="40" t="str">
        <x:f aca="false">IF(OR($S100="",$R100="",$R100=0),"",$S100/$R100)</x:f>
        <x:v/>
      </x:c>
      <x:c r="U100" s="41" t="str">
        <x:f aca="false">IF(OR($L100="",$L100=0,$H100="",$I100=""),"",((100/$L100)-1)/(ABS($H100-$I100)/$H100*100))</x:f>
        <x:v/>
      </x:c>
      <x:c r="V100" s="42" t="str">
        <x:f aca="false">IFERROR(VALUE(LEFT($B100,2)),"")</x:f>
        <x:v/>
      </x:c>
      <x:c r="W100" s="2"/>
    </x:row>
    <x:row r="101" customFormat="false" ht="15" hidden="false" customHeight="false" outlineLevel="0" collapsed="false">
      <x:c r="A101" s="43"/>
      <x:c r="B101" s="44"/>
      <x:c r="C101" s="45"/>
      <x:c r="D101" s="45"/>
      <x:c r="E101" s="45"/>
      <x:c r="F101" s="45"/>
      <x:c r="G101" s="45"/>
      <x:c r="H101" s="46"/>
      <x:c r="I101" s="46"/>
      <x:c r="J101" s="46"/>
      <x:c r="K101" s="47"/>
      <x:c r="L101" s="48"/>
      <x:c r="M101" s="45"/>
      <x:c r="N101" s="49"/>
      <x:c r="O101" s="50"/>
      <x:c r="P101" s="51"/>
      <x:c r="Q101" s="52"/>
      <x:c r="R101" s="38" t="str">
        <x:f aca="false">IF(OR($G101&lt;&gt;"Yes",$H101="",$I101="",$K101=""),"",ABS($H101-$I101)*$K101)</x:f>
        <x:v/>
      </x:c>
      <x:c r="S101" s="39" t="str">
        <x:f aca="false">IF(OR($G101&lt;&gt;"Yes",$H101="",$J101="",$K101=""),"",IF($F101="Short",$H101-$J101,$J101-$H101)*$K101-($H101+$J101)*$K101*Dashboard!$D$5/100)</x:f>
        <x:v/>
      </x:c>
      <x:c r="T101" s="40" t="str">
        <x:f aca="false">IF(OR($S101="",$R101="",$R101=0),"",$S101/$R101)</x:f>
        <x:v/>
      </x:c>
      <x:c r="U101" s="41" t="str">
        <x:f aca="false">IF(OR($L101="",$L101=0,$H101="",$I101=""),"",((100/$L101)-1)/(ABS($H101-$I101)/$H101*100))</x:f>
        <x:v/>
      </x:c>
      <x:c r="V101" s="42" t="str">
        <x:f aca="false">IFERROR(VALUE(LEFT($B101,2)),"")</x:f>
        <x:v/>
      </x:c>
      <x:c r="W101" s="2"/>
    </x:row>
    <x:row r="102" customFormat="false" ht="15" hidden="false" customHeight="false" outlineLevel="0" collapsed="false">
      <x:c r="A102" s="43"/>
      <x:c r="B102" s="44"/>
      <x:c r="C102" s="45"/>
      <x:c r="D102" s="45"/>
      <x:c r="E102" s="45"/>
      <x:c r="F102" s="45"/>
      <x:c r="G102" s="45"/>
      <x:c r="H102" s="46"/>
      <x:c r="I102" s="46"/>
      <x:c r="J102" s="46"/>
      <x:c r="K102" s="47"/>
      <x:c r="L102" s="48"/>
      <x:c r="M102" s="45"/>
      <x:c r="N102" s="49"/>
      <x:c r="O102" s="50"/>
      <x:c r="P102" s="51"/>
      <x:c r="Q102" s="52"/>
      <x:c r="R102" s="38" t="str">
        <x:f aca="false">IF(OR($G102&lt;&gt;"Yes",$H102="",$I102="",$K102=""),"",ABS($H102-$I102)*$K102)</x:f>
        <x:v/>
      </x:c>
      <x:c r="S102" s="39" t="str">
        <x:f aca="false">IF(OR($G102&lt;&gt;"Yes",$H102="",$J102="",$K102=""),"",IF($F102="Short",$H102-$J102,$J102-$H102)*$K102-($H102+$J102)*$K102*Dashboard!$D$5/100)</x:f>
        <x:v/>
      </x:c>
      <x:c r="T102" s="40" t="str">
        <x:f aca="false">IF(OR($S102="",$R102="",$R102=0),"",$S102/$R102)</x:f>
        <x:v/>
      </x:c>
      <x:c r="U102" s="41" t="str">
        <x:f aca="false">IF(OR($L102="",$L102=0,$H102="",$I102=""),"",((100/$L102)-1)/(ABS($H102-$I102)/$H102*100))</x:f>
        <x:v/>
      </x:c>
      <x:c r="V102" s="42" t="str">
        <x:f aca="false">IFERROR(VALUE(LEFT($B102,2)),"")</x:f>
        <x:v/>
      </x:c>
      <x:c r="W102" s="2"/>
    </x:row>
    <x:row r="103" customFormat="false" ht="15" hidden="false" customHeight="false" outlineLevel="0" collapsed="false">
      <x:c r="A103" s="43"/>
      <x:c r="B103" s="44"/>
      <x:c r="C103" s="45"/>
      <x:c r="D103" s="45"/>
      <x:c r="E103" s="45"/>
      <x:c r="F103" s="45"/>
      <x:c r="G103" s="45"/>
      <x:c r="H103" s="46"/>
      <x:c r="I103" s="46"/>
      <x:c r="J103" s="46"/>
      <x:c r="K103" s="47"/>
      <x:c r="L103" s="48"/>
      <x:c r="M103" s="45"/>
      <x:c r="N103" s="49"/>
      <x:c r="O103" s="50"/>
      <x:c r="P103" s="51"/>
      <x:c r="Q103" s="52"/>
      <x:c r="R103" s="38" t="str">
        <x:f aca="false">IF(OR($G103&lt;&gt;"Yes",$H103="",$I103="",$K103=""),"",ABS($H103-$I103)*$K103)</x:f>
        <x:v/>
      </x:c>
      <x:c r="S103" s="39" t="str">
        <x:f aca="false">IF(OR($G103&lt;&gt;"Yes",$H103="",$J103="",$K103=""),"",IF($F103="Short",$H103-$J103,$J103-$H103)*$K103-($H103+$J103)*$K103*Dashboard!$D$5/100)</x:f>
        <x:v/>
      </x:c>
      <x:c r="T103" s="40" t="str">
        <x:f aca="false">IF(OR($S103="",$R103="",$R103=0),"",$S103/$R103)</x:f>
        <x:v/>
      </x:c>
      <x:c r="U103" s="41" t="str">
        <x:f aca="false">IF(OR($L103="",$L103=0,$H103="",$I103=""),"",((100/$L103)-1)/(ABS($H103-$I103)/$H103*100))</x:f>
        <x:v/>
      </x:c>
      <x:c r="V103" s="42" t="str">
        <x:f aca="false">IFERROR(VALUE(LEFT($B103,2)),"")</x:f>
        <x:v/>
      </x:c>
      <x:c r="W103" s="2"/>
    </x:row>
    <x:row r="104" customFormat="false" ht="15" hidden="false" customHeight="false" outlineLevel="0" collapsed="false">
      <x:c r="A104" s="43"/>
      <x:c r="B104" s="44"/>
      <x:c r="C104" s="45"/>
      <x:c r="D104" s="45"/>
      <x:c r="E104" s="45"/>
      <x:c r="F104" s="45"/>
      <x:c r="G104" s="45"/>
      <x:c r="H104" s="46"/>
      <x:c r="I104" s="46"/>
      <x:c r="J104" s="46"/>
      <x:c r="K104" s="47"/>
      <x:c r="L104" s="48"/>
      <x:c r="M104" s="45"/>
      <x:c r="N104" s="49"/>
      <x:c r="O104" s="50"/>
      <x:c r="P104" s="51"/>
      <x:c r="Q104" s="52"/>
      <x:c r="R104" s="38" t="str">
        <x:f aca="false">IF(OR($G104&lt;&gt;"Yes",$H104="",$I104="",$K104=""),"",ABS($H104-$I104)*$K104)</x:f>
        <x:v/>
      </x:c>
      <x:c r="S104" s="39" t="str">
        <x:f aca="false">IF(OR($G104&lt;&gt;"Yes",$H104="",$J104="",$K104=""),"",IF($F104="Short",$H104-$J104,$J104-$H104)*$K104-($H104+$J104)*$K104*Dashboard!$D$5/100)</x:f>
        <x:v/>
      </x:c>
      <x:c r="T104" s="40" t="str">
        <x:f aca="false">IF(OR($S104="",$R104="",$R104=0),"",$S104/$R104)</x:f>
        <x:v/>
      </x:c>
      <x:c r="U104" s="41" t="str">
        <x:f aca="false">IF(OR($L104="",$L104=0,$H104="",$I104=""),"",((100/$L104)-1)/(ABS($H104-$I104)/$H104*100))</x:f>
        <x:v/>
      </x:c>
      <x:c r="V104" s="42" t="str">
        <x:f aca="false">IFERROR(VALUE(LEFT($B104,2)),"")</x:f>
        <x:v/>
      </x:c>
      <x:c r="W104" s="2"/>
    </x:row>
    <x:row r="105" customFormat="false" ht="15" hidden="false" customHeight="false" outlineLevel="0" collapsed="false">
      <x:c r="A105" s="43"/>
      <x:c r="B105" s="44"/>
      <x:c r="C105" s="45"/>
      <x:c r="D105" s="45"/>
      <x:c r="E105" s="45"/>
      <x:c r="F105" s="45"/>
      <x:c r="G105" s="45"/>
      <x:c r="H105" s="46"/>
      <x:c r="I105" s="46"/>
      <x:c r="J105" s="46"/>
      <x:c r="K105" s="47"/>
      <x:c r="L105" s="48"/>
      <x:c r="M105" s="45"/>
      <x:c r="N105" s="49"/>
      <x:c r="O105" s="50"/>
      <x:c r="P105" s="51"/>
      <x:c r="Q105" s="52"/>
      <x:c r="R105" s="38" t="str">
        <x:f aca="false">IF(OR($G105&lt;&gt;"Yes",$H105="",$I105="",$K105=""),"",ABS($H105-$I105)*$K105)</x:f>
        <x:v/>
      </x:c>
      <x:c r="S105" s="39" t="str">
        <x:f aca="false">IF(OR($G105&lt;&gt;"Yes",$H105="",$J105="",$K105=""),"",IF($F105="Short",$H105-$J105,$J105-$H105)*$K105-($H105+$J105)*$K105*Dashboard!$D$5/100)</x:f>
        <x:v/>
      </x:c>
      <x:c r="T105" s="40" t="str">
        <x:f aca="false">IF(OR($S105="",$R105="",$R105=0),"",$S105/$R105)</x:f>
        <x:v/>
      </x:c>
      <x:c r="U105" s="41" t="str">
        <x:f aca="false">IF(OR($L105="",$L105=0,$H105="",$I105=""),"",((100/$L105)-1)/(ABS($H105-$I105)/$H105*100))</x:f>
        <x:v/>
      </x:c>
      <x:c r="V105" s="42" t="str">
        <x:f aca="false">IFERROR(VALUE(LEFT($B105,2)),"")</x:f>
        <x:v/>
      </x:c>
      <x:c r="W105" s="2"/>
    </x:row>
    <x:row r="106" customFormat="false" ht="15" hidden="false" customHeight="false" outlineLevel="0" collapsed="false">
      <x:c r="A106" s="43"/>
      <x:c r="B106" s="44"/>
      <x:c r="C106" s="45"/>
      <x:c r="D106" s="45"/>
      <x:c r="E106" s="45"/>
      <x:c r="F106" s="45"/>
      <x:c r="G106" s="45"/>
      <x:c r="H106" s="46"/>
      <x:c r="I106" s="46"/>
      <x:c r="J106" s="46"/>
      <x:c r="K106" s="47"/>
      <x:c r="L106" s="48"/>
      <x:c r="M106" s="45"/>
      <x:c r="N106" s="49"/>
      <x:c r="O106" s="50"/>
      <x:c r="P106" s="51"/>
      <x:c r="Q106" s="52"/>
      <x:c r="R106" s="38" t="str">
        <x:f aca="false">IF(OR($G106&lt;&gt;"Yes",$H106="",$I106="",$K106=""),"",ABS($H106-$I106)*$K106)</x:f>
        <x:v/>
      </x:c>
      <x:c r="S106" s="39" t="str">
        <x:f aca="false">IF(OR($G106&lt;&gt;"Yes",$H106="",$J106="",$K106=""),"",IF($F106="Short",$H106-$J106,$J106-$H106)*$K106-($H106+$J106)*$K106*Dashboard!$D$5/100)</x:f>
        <x:v/>
      </x:c>
      <x:c r="T106" s="40" t="str">
        <x:f aca="false">IF(OR($S106="",$R106="",$R106=0),"",$S106/$R106)</x:f>
        <x:v/>
      </x:c>
      <x:c r="U106" s="41" t="str">
        <x:f aca="false">IF(OR($L106="",$L106=0,$H106="",$I106=""),"",((100/$L106)-1)/(ABS($H106-$I106)/$H106*100))</x:f>
        <x:v/>
      </x:c>
      <x:c r="V106" s="42" t="str">
        <x:f aca="false">IFERROR(VALUE(LEFT($B106,2)),"")</x:f>
        <x:v/>
      </x:c>
      <x:c r="W106" s="2"/>
    </x:row>
    <x:row r="107" customFormat="false" ht="15" hidden="false" customHeight="false" outlineLevel="0" collapsed="false">
      <x:c r="A107" s="43"/>
      <x:c r="B107" s="44"/>
      <x:c r="C107" s="45"/>
      <x:c r="D107" s="45"/>
      <x:c r="E107" s="45"/>
      <x:c r="F107" s="45"/>
      <x:c r="G107" s="45"/>
      <x:c r="H107" s="46"/>
      <x:c r="I107" s="46"/>
      <x:c r="J107" s="46"/>
      <x:c r="K107" s="47"/>
      <x:c r="L107" s="48"/>
      <x:c r="M107" s="45"/>
      <x:c r="N107" s="49"/>
      <x:c r="O107" s="50"/>
      <x:c r="P107" s="51"/>
      <x:c r="Q107" s="52"/>
      <x:c r="R107" s="38" t="str">
        <x:f aca="false">IF(OR($G107&lt;&gt;"Yes",$H107="",$I107="",$K107=""),"",ABS($H107-$I107)*$K107)</x:f>
        <x:v/>
      </x:c>
      <x:c r="S107" s="39" t="str">
        <x:f aca="false">IF(OR($G107&lt;&gt;"Yes",$H107="",$J107="",$K107=""),"",IF($F107="Short",$H107-$J107,$J107-$H107)*$K107-($H107+$J107)*$K107*Dashboard!$D$5/100)</x:f>
        <x:v/>
      </x:c>
      <x:c r="T107" s="40" t="str">
        <x:f aca="false">IF(OR($S107="",$R107="",$R107=0),"",$S107/$R107)</x:f>
        <x:v/>
      </x:c>
      <x:c r="U107" s="41" t="str">
        <x:f aca="false">IF(OR($L107="",$L107=0,$H107="",$I107=""),"",((100/$L107)-1)/(ABS($H107-$I107)/$H107*100))</x:f>
        <x:v/>
      </x:c>
      <x:c r="V107" s="42" t="str">
        <x:f aca="false">IFERROR(VALUE(LEFT($B107,2)),"")</x:f>
        <x:v/>
      </x:c>
      <x:c r="W107" s="2"/>
    </x:row>
    <x:row r="108" customFormat="false" ht="15" hidden="false" customHeight="false" outlineLevel="0" collapsed="false">
      <x:c r="A108" s="43"/>
      <x:c r="B108" s="44"/>
      <x:c r="C108" s="45"/>
      <x:c r="D108" s="45"/>
      <x:c r="E108" s="45"/>
      <x:c r="F108" s="45"/>
      <x:c r="G108" s="45"/>
      <x:c r="H108" s="46"/>
      <x:c r="I108" s="46"/>
      <x:c r="J108" s="46"/>
      <x:c r="K108" s="47"/>
      <x:c r="L108" s="48"/>
      <x:c r="M108" s="45"/>
      <x:c r="N108" s="49"/>
      <x:c r="O108" s="50"/>
      <x:c r="P108" s="51"/>
      <x:c r="Q108" s="52"/>
      <x:c r="R108" s="38" t="str">
        <x:f aca="false">IF(OR($G108&lt;&gt;"Yes",$H108="",$I108="",$K108=""),"",ABS($H108-$I108)*$K108)</x:f>
        <x:v/>
      </x:c>
      <x:c r="S108" s="39" t="str">
        <x:f aca="false">IF(OR($G108&lt;&gt;"Yes",$H108="",$J108="",$K108=""),"",IF($F108="Short",$H108-$J108,$J108-$H108)*$K108-($H108+$J108)*$K108*Dashboard!$D$5/100)</x:f>
        <x:v/>
      </x:c>
      <x:c r="T108" s="40" t="str">
        <x:f aca="false">IF(OR($S108="",$R108="",$R108=0),"",$S108/$R108)</x:f>
        <x:v/>
      </x:c>
      <x:c r="U108" s="41" t="str">
        <x:f aca="false">IF(OR($L108="",$L108=0,$H108="",$I108=""),"",((100/$L108)-1)/(ABS($H108-$I108)/$H108*100))</x:f>
        <x:v/>
      </x:c>
      <x:c r="V108" s="42" t="str">
        <x:f aca="false">IFERROR(VALUE(LEFT($B108,2)),"")</x:f>
        <x:v/>
      </x:c>
      <x:c r="W108" s="2"/>
    </x:row>
    <x:row r="109" customFormat="false" ht="15" hidden="false" customHeight="false" outlineLevel="0" collapsed="false">
      <x:c r="A109" s="43"/>
      <x:c r="B109" s="44"/>
      <x:c r="C109" s="45"/>
      <x:c r="D109" s="45"/>
      <x:c r="E109" s="45"/>
      <x:c r="F109" s="45"/>
      <x:c r="G109" s="45"/>
      <x:c r="H109" s="46"/>
      <x:c r="I109" s="46"/>
      <x:c r="J109" s="46"/>
      <x:c r="K109" s="47"/>
      <x:c r="L109" s="48"/>
      <x:c r="M109" s="45"/>
      <x:c r="N109" s="49"/>
      <x:c r="O109" s="50"/>
      <x:c r="P109" s="51"/>
      <x:c r="Q109" s="52"/>
      <x:c r="R109" s="38" t="str">
        <x:f aca="false">IF(OR($G109&lt;&gt;"Yes",$H109="",$I109="",$K109=""),"",ABS($H109-$I109)*$K109)</x:f>
        <x:v/>
      </x:c>
      <x:c r="S109" s="39" t="str">
        <x:f aca="false">IF(OR($G109&lt;&gt;"Yes",$H109="",$J109="",$K109=""),"",IF($F109="Short",$H109-$J109,$J109-$H109)*$K109-($H109+$J109)*$K109*Dashboard!$D$5/100)</x:f>
        <x:v/>
      </x:c>
      <x:c r="T109" s="40" t="str">
        <x:f aca="false">IF(OR($S109="",$R109="",$R109=0),"",$S109/$R109)</x:f>
        <x:v/>
      </x:c>
      <x:c r="U109" s="41" t="str">
        <x:f aca="false">IF(OR($L109="",$L109=0,$H109="",$I109=""),"",((100/$L109)-1)/(ABS($H109-$I109)/$H109*100))</x:f>
        <x:v/>
      </x:c>
      <x:c r="V109" s="42" t="str">
        <x:f aca="false">IFERROR(VALUE(LEFT($B109,2)),"")</x:f>
        <x:v/>
      </x:c>
      <x:c r="W109" s="2"/>
    </x:row>
    <x:row r="110" customFormat="false" ht="15" hidden="false" customHeight="false" outlineLevel="0" collapsed="false">
      <x:c r="A110" s="43"/>
      <x:c r="B110" s="44"/>
      <x:c r="C110" s="45"/>
      <x:c r="D110" s="45"/>
      <x:c r="E110" s="45"/>
      <x:c r="F110" s="45"/>
      <x:c r="G110" s="45"/>
      <x:c r="H110" s="46"/>
      <x:c r="I110" s="46"/>
      <x:c r="J110" s="46"/>
      <x:c r="K110" s="47"/>
      <x:c r="L110" s="48"/>
      <x:c r="M110" s="45"/>
      <x:c r="N110" s="49"/>
      <x:c r="O110" s="50"/>
      <x:c r="P110" s="51"/>
      <x:c r="Q110" s="52"/>
      <x:c r="R110" s="38" t="str">
        <x:f aca="false">IF(OR($G110&lt;&gt;"Yes",$H110="",$I110="",$K110=""),"",ABS($H110-$I110)*$K110)</x:f>
        <x:v/>
      </x:c>
      <x:c r="S110" s="39" t="str">
        <x:f aca="false">IF(OR($G110&lt;&gt;"Yes",$H110="",$J110="",$K110=""),"",IF($F110="Short",$H110-$J110,$J110-$H110)*$K110-($H110+$J110)*$K110*Dashboard!$D$5/100)</x:f>
        <x:v/>
      </x:c>
      <x:c r="T110" s="40" t="str">
        <x:f aca="false">IF(OR($S110="",$R110="",$R110=0),"",$S110/$R110)</x:f>
        <x:v/>
      </x:c>
      <x:c r="U110" s="41" t="str">
        <x:f aca="false">IF(OR($L110="",$L110=0,$H110="",$I110=""),"",((100/$L110)-1)/(ABS($H110-$I110)/$H110*100))</x:f>
        <x:v/>
      </x:c>
      <x:c r="V110" s="42" t="str">
        <x:f aca="false">IFERROR(VALUE(LEFT($B110,2)),"")</x:f>
        <x:v/>
      </x:c>
      <x:c r="W110" s="2"/>
    </x:row>
    <x:row r="111" customFormat="false" ht="15" hidden="false" customHeight="false" outlineLevel="0" collapsed="false">
      <x:c r="A111" s="43"/>
      <x:c r="B111" s="44"/>
      <x:c r="C111" s="45"/>
      <x:c r="D111" s="45"/>
      <x:c r="E111" s="45"/>
      <x:c r="F111" s="45"/>
      <x:c r="G111" s="45"/>
      <x:c r="H111" s="46"/>
      <x:c r="I111" s="46"/>
      <x:c r="J111" s="46"/>
      <x:c r="K111" s="47"/>
      <x:c r="L111" s="48"/>
      <x:c r="M111" s="45"/>
      <x:c r="N111" s="49"/>
      <x:c r="O111" s="50"/>
      <x:c r="P111" s="51"/>
      <x:c r="Q111" s="52"/>
      <x:c r="R111" s="38" t="str">
        <x:f aca="false">IF(OR($G111&lt;&gt;"Yes",$H111="",$I111="",$K111=""),"",ABS($H111-$I111)*$K111)</x:f>
        <x:v/>
      </x:c>
      <x:c r="S111" s="39" t="str">
        <x:f aca="false">IF(OR($G111&lt;&gt;"Yes",$H111="",$J111="",$K111=""),"",IF($F111="Short",$H111-$J111,$J111-$H111)*$K111-($H111+$J111)*$K111*Dashboard!$D$5/100)</x:f>
        <x:v/>
      </x:c>
      <x:c r="T111" s="40" t="str">
        <x:f aca="false">IF(OR($S111="",$R111="",$R111=0),"",$S111/$R111)</x:f>
        <x:v/>
      </x:c>
      <x:c r="U111" s="41" t="str">
        <x:f aca="false">IF(OR($L111="",$L111=0,$H111="",$I111=""),"",((100/$L111)-1)/(ABS($H111-$I111)/$H111*100))</x:f>
        <x:v/>
      </x:c>
      <x:c r="V111" s="42" t="str">
        <x:f aca="false">IFERROR(VALUE(LEFT($B111,2)),"")</x:f>
        <x:v/>
      </x:c>
      <x:c r="W111" s="2"/>
    </x:row>
    <x:row r="112" customFormat="false" ht="15" hidden="false" customHeight="false" outlineLevel="0" collapsed="false">
      <x:c r="A112" s="43"/>
      <x:c r="B112" s="44"/>
      <x:c r="C112" s="45"/>
      <x:c r="D112" s="45"/>
      <x:c r="E112" s="45"/>
      <x:c r="F112" s="45"/>
      <x:c r="G112" s="45"/>
      <x:c r="H112" s="46"/>
      <x:c r="I112" s="46"/>
      <x:c r="J112" s="46"/>
      <x:c r="K112" s="47"/>
      <x:c r="L112" s="48"/>
      <x:c r="M112" s="45"/>
      <x:c r="N112" s="49"/>
      <x:c r="O112" s="50"/>
      <x:c r="P112" s="51"/>
      <x:c r="Q112" s="52"/>
      <x:c r="R112" s="38" t="str">
        <x:f aca="false">IF(OR($G112&lt;&gt;"Yes",$H112="",$I112="",$K112=""),"",ABS($H112-$I112)*$K112)</x:f>
        <x:v/>
      </x:c>
      <x:c r="S112" s="39" t="str">
        <x:f aca="false">IF(OR($G112&lt;&gt;"Yes",$H112="",$J112="",$K112=""),"",IF($F112="Short",$H112-$J112,$J112-$H112)*$K112-($H112+$J112)*$K112*Dashboard!$D$5/100)</x:f>
        <x:v/>
      </x:c>
      <x:c r="T112" s="40" t="str">
        <x:f aca="false">IF(OR($S112="",$R112="",$R112=0),"",$S112/$R112)</x:f>
        <x:v/>
      </x:c>
      <x:c r="U112" s="41" t="str">
        <x:f aca="false">IF(OR($L112="",$L112=0,$H112="",$I112=""),"",((100/$L112)-1)/(ABS($H112-$I112)/$H112*100))</x:f>
        <x:v/>
      </x:c>
      <x:c r="V112" s="42" t="str">
        <x:f aca="false">IFERROR(VALUE(LEFT($B112,2)),"")</x:f>
        <x:v/>
      </x:c>
      <x:c r="W112" s="2"/>
    </x:row>
    <x:row r="113" customFormat="false" ht="15" hidden="false" customHeight="false" outlineLevel="0" collapsed="false">
      <x:c r="A113" s="43"/>
      <x:c r="B113" s="44"/>
      <x:c r="C113" s="45"/>
      <x:c r="D113" s="45"/>
      <x:c r="E113" s="45"/>
      <x:c r="F113" s="45"/>
      <x:c r="G113" s="45"/>
      <x:c r="H113" s="46"/>
      <x:c r="I113" s="46"/>
      <x:c r="J113" s="46"/>
      <x:c r="K113" s="47"/>
      <x:c r="L113" s="48"/>
      <x:c r="M113" s="45"/>
      <x:c r="N113" s="49"/>
      <x:c r="O113" s="50"/>
      <x:c r="P113" s="51"/>
      <x:c r="Q113" s="52"/>
      <x:c r="R113" s="38" t="str">
        <x:f aca="false">IF(OR($G113&lt;&gt;"Yes",$H113="",$I113="",$K113=""),"",ABS($H113-$I113)*$K113)</x:f>
        <x:v/>
      </x:c>
      <x:c r="S113" s="39" t="str">
        <x:f aca="false">IF(OR($G113&lt;&gt;"Yes",$H113="",$J113="",$K113=""),"",IF($F113="Short",$H113-$J113,$J113-$H113)*$K113-($H113+$J113)*$K113*Dashboard!$D$5/100)</x:f>
        <x:v/>
      </x:c>
      <x:c r="T113" s="40" t="str">
        <x:f aca="false">IF(OR($S113="",$R113="",$R113=0),"",$S113/$R113)</x:f>
        <x:v/>
      </x:c>
      <x:c r="U113" s="41" t="str">
        <x:f aca="false">IF(OR($L113="",$L113=0,$H113="",$I113=""),"",((100/$L113)-1)/(ABS($H113-$I113)/$H113*100))</x:f>
        <x:v/>
      </x:c>
      <x:c r="V113" s="42" t="str">
        <x:f aca="false">IFERROR(VALUE(LEFT($B113,2)),"")</x:f>
        <x:v/>
      </x:c>
      <x:c r="W113" s="2"/>
    </x:row>
    <x:row r="114" customFormat="false" ht="15" hidden="false" customHeight="false" outlineLevel="0" collapsed="false">
      <x:c r="A114" s="43"/>
      <x:c r="B114" s="44"/>
      <x:c r="C114" s="45"/>
      <x:c r="D114" s="45"/>
      <x:c r="E114" s="45"/>
      <x:c r="F114" s="45"/>
      <x:c r="G114" s="45"/>
      <x:c r="H114" s="46"/>
      <x:c r="I114" s="46"/>
      <x:c r="J114" s="46"/>
      <x:c r="K114" s="47"/>
      <x:c r="L114" s="48"/>
      <x:c r="M114" s="45"/>
      <x:c r="N114" s="49"/>
      <x:c r="O114" s="50"/>
      <x:c r="P114" s="51"/>
      <x:c r="Q114" s="52"/>
      <x:c r="R114" s="38" t="str">
        <x:f aca="false">IF(OR($G114&lt;&gt;"Yes",$H114="",$I114="",$K114=""),"",ABS($H114-$I114)*$K114)</x:f>
        <x:v/>
      </x:c>
      <x:c r="S114" s="39" t="str">
        <x:f aca="false">IF(OR($G114&lt;&gt;"Yes",$H114="",$J114="",$K114=""),"",IF($F114="Short",$H114-$J114,$J114-$H114)*$K114-($H114+$J114)*$K114*Dashboard!$D$5/100)</x:f>
        <x:v/>
      </x:c>
      <x:c r="T114" s="40" t="str">
        <x:f aca="false">IF(OR($S114="",$R114="",$R114=0),"",$S114/$R114)</x:f>
        <x:v/>
      </x:c>
      <x:c r="U114" s="41" t="str">
        <x:f aca="false">IF(OR($L114="",$L114=0,$H114="",$I114=""),"",((100/$L114)-1)/(ABS($H114-$I114)/$H114*100))</x:f>
        <x:v/>
      </x:c>
      <x:c r="V114" s="42" t="str">
        <x:f aca="false">IFERROR(VALUE(LEFT($B114,2)),"")</x:f>
        <x:v/>
      </x:c>
      <x:c r="W114" s="2"/>
    </x:row>
    <x:row r="115" customFormat="false" ht="15" hidden="false" customHeight="false" outlineLevel="0" collapsed="false">
      <x:c r="A115" s="43"/>
      <x:c r="B115" s="44"/>
      <x:c r="C115" s="45"/>
      <x:c r="D115" s="45"/>
      <x:c r="E115" s="45"/>
      <x:c r="F115" s="45"/>
      <x:c r="G115" s="45"/>
      <x:c r="H115" s="46"/>
      <x:c r="I115" s="46"/>
      <x:c r="J115" s="46"/>
      <x:c r="K115" s="47"/>
      <x:c r="L115" s="48"/>
      <x:c r="M115" s="45"/>
      <x:c r="N115" s="49"/>
      <x:c r="O115" s="50"/>
      <x:c r="P115" s="51"/>
      <x:c r="Q115" s="52"/>
      <x:c r="R115" s="38" t="str">
        <x:f aca="false">IF(OR($G115&lt;&gt;"Yes",$H115="",$I115="",$K115=""),"",ABS($H115-$I115)*$K115)</x:f>
        <x:v/>
      </x:c>
      <x:c r="S115" s="39" t="str">
        <x:f aca="false">IF(OR($G115&lt;&gt;"Yes",$H115="",$J115="",$K115=""),"",IF($F115="Short",$H115-$J115,$J115-$H115)*$K115-($H115+$J115)*$K115*Dashboard!$D$5/100)</x:f>
        <x:v/>
      </x:c>
      <x:c r="T115" s="40" t="str">
        <x:f aca="false">IF(OR($S115="",$R115="",$R115=0),"",$S115/$R115)</x:f>
        <x:v/>
      </x:c>
      <x:c r="U115" s="41" t="str">
        <x:f aca="false">IF(OR($L115="",$L115=0,$H115="",$I115=""),"",((100/$L115)-1)/(ABS($H115-$I115)/$H115*100))</x:f>
        <x:v/>
      </x:c>
      <x:c r="V115" s="42" t="str">
        <x:f aca="false">IFERROR(VALUE(LEFT($B115,2)),"")</x:f>
        <x:v/>
      </x:c>
      <x:c r="W115" s="2"/>
    </x:row>
    <x:row r="116" customFormat="false" ht="15" hidden="false" customHeight="false" outlineLevel="0" collapsed="false">
      <x:c r="A116" s="43"/>
      <x:c r="B116" s="44"/>
      <x:c r="C116" s="45"/>
      <x:c r="D116" s="45"/>
      <x:c r="E116" s="45"/>
      <x:c r="F116" s="45"/>
      <x:c r="G116" s="45"/>
      <x:c r="H116" s="46"/>
      <x:c r="I116" s="46"/>
      <x:c r="J116" s="46"/>
      <x:c r="K116" s="47"/>
      <x:c r="L116" s="48"/>
      <x:c r="M116" s="45"/>
      <x:c r="N116" s="49"/>
      <x:c r="O116" s="50"/>
      <x:c r="P116" s="51"/>
      <x:c r="Q116" s="52"/>
      <x:c r="R116" s="38" t="str">
        <x:f aca="false">IF(OR($G116&lt;&gt;"Yes",$H116="",$I116="",$K116=""),"",ABS($H116-$I116)*$K116)</x:f>
        <x:v/>
      </x:c>
      <x:c r="S116" s="39" t="str">
        <x:f aca="false">IF(OR($G116&lt;&gt;"Yes",$H116="",$J116="",$K116=""),"",IF($F116="Short",$H116-$J116,$J116-$H116)*$K116-($H116+$J116)*$K116*Dashboard!$D$5/100)</x:f>
        <x:v/>
      </x:c>
      <x:c r="T116" s="40" t="str">
        <x:f aca="false">IF(OR($S116="",$R116="",$R116=0),"",$S116/$R116)</x:f>
        <x:v/>
      </x:c>
      <x:c r="U116" s="41" t="str">
        <x:f aca="false">IF(OR($L116="",$L116=0,$H116="",$I116=""),"",((100/$L116)-1)/(ABS($H116-$I116)/$H116*100))</x:f>
        <x:v/>
      </x:c>
      <x:c r="V116" s="42" t="str">
        <x:f aca="false">IFERROR(VALUE(LEFT($B116,2)),"")</x:f>
        <x:v/>
      </x:c>
      <x:c r="W116" s="2"/>
    </x:row>
    <x:row r="117" customFormat="false" ht="15" hidden="false" customHeight="false" outlineLevel="0" collapsed="false">
      <x:c r="A117" s="43"/>
      <x:c r="B117" s="44"/>
      <x:c r="C117" s="45"/>
      <x:c r="D117" s="45"/>
      <x:c r="E117" s="45"/>
      <x:c r="F117" s="45"/>
      <x:c r="G117" s="45"/>
      <x:c r="H117" s="46"/>
      <x:c r="I117" s="46"/>
      <x:c r="J117" s="46"/>
      <x:c r="K117" s="47"/>
      <x:c r="L117" s="48"/>
      <x:c r="M117" s="45"/>
      <x:c r="N117" s="49"/>
      <x:c r="O117" s="50"/>
      <x:c r="P117" s="51"/>
      <x:c r="Q117" s="52"/>
      <x:c r="R117" s="38" t="str">
        <x:f aca="false">IF(OR($G117&lt;&gt;"Yes",$H117="",$I117="",$K117=""),"",ABS($H117-$I117)*$K117)</x:f>
        <x:v/>
      </x:c>
      <x:c r="S117" s="39" t="str">
        <x:f aca="false">IF(OR($G117&lt;&gt;"Yes",$H117="",$J117="",$K117=""),"",IF($F117="Short",$H117-$J117,$J117-$H117)*$K117-($H117+$J117)*$K117*Dashboard!$D$5/100)</x:f>
        <x:v/>
      </x:c>
      <x:c r="T117" s="40" t="str">
        <x:f aca="false">IF(OR($S117="",$R117="",$R117=0),"",$S117/$R117)</x:f>
        <x:v/>
      </x:c>
      <x:c r="U117" s="41" t="str">
        <x:f aca="false">IF(OR($L117="",$L117=0,$H117="",$I117=""),"",((100/$L117)-1)/(ABS($H117-$I117)/$H117*100))</x:f>
        <x:v/>
      </x:c>
      <x:c r="V117" s="42" t="str">
        <x:f aca="false">IFERROR(VALUE(LEFT($B117,2)),"")</x:f>
        <x:v/>
      </x:c>
      <x:c r="W117" s="2"/>
    </x:row>
    <x:row r="118" customFormat="false" ht="15" hidden="false" customHeight="false" outlineLevel="0" collapsed="false">
      <x:c r="A118" s="43"/>
      <x:c r="B118" s="44"/>
      <x:c r="C118" s="45"/>
      <x:c r="D118" s="45"/>
      <x:c r="E118" s="45"/>
      <x:c r="F118" s="45"/>
      <x:c r="G118" s="45"/>
      <x:c r="H118" s="46"/>
      <x:c r="I118" s="46"/>
      <x:c r="J118" s="46"/>
      <x:c r="K118" s="47"/>
      <x:c r="L118" s="48"/>
      <x:c r="M118" s="45"/>
      <x:c r="N118" s="49"/>
      <x:c r="O118" s="50"/>
      <x:c r="P118" s="51"/>
      <x:c r="Q118" s="52"/>
      <x:c r="R118" s="38" t="str">
        <x:f aca="false">IF(OR($G118&lt;&gt;"Yes",$H118="",$I118="",$K118=""),"",ABS($H118-$I118)*$K118)</x:f>
        <x:v/>
      </x:c>
      <x:c r="S118" s="39" t="str">
        <x:f aca="false">IF(OR($G118&lt;&gt;"Yes",$H118="",$J118="",$K118=""),"",IF($F118="Short",$H118-$J118,$J118-$H118)*$K118-($H118+$J118)*$K118*Dashboard!$D$5/100)</x:f>
        <x:v/>
      </x:c>
      <x:c r="T118" s="40" t="str">
        <x:f aca="false">IF(OR($S118="",$R118="",$R118=0),"",$S118/$R118)</x:f>
        <x:v/>
      </x:c>
      <x:c r="U118" s="41" t="str">
        <x:f aca="false">IF(OR($L118="",$L118=0,$H118="",$I118=""),"",((100/$L118)-1)/(ABS($H118-$I118)/$H118*100))</x:f>
        <x:v/>
      </x:c>
      <x:c r="V118" s="42" t="str">
        <x:f aca="false">IFERROR(VALUE(LEFT($B118,2)),"")</x:f>
        <x:v/>
      </x:c>
      <x:c r="W118" s="2"/>
    </x:row>
    <x:row r="119" customFormat="false" ht="15" hidden="false" customHeight="false" outlineLevel="0" collapsed="false">
      <x:c r="A119" s="43"/>
      <x:c r="B119" s="44"/>
      <x:c r="C119" s="45"/>
      <x:c r="D119" s="45"/>
      <x:c r="E119" s="45"/>
      <x:c r="F119" s="45"/>
      <x:c r="G119" s="45"/>
      <x:c r="H119" s="46"/>
      <x:c r="I119" s="46"/>
      <x:c r="J119" s="46"/>
      <x:c r="K119" s="47"/>
      <x:c r="L119" s="48"/>
      <x:c r="M119" s="45"/>
      <x:c r="N119" s="49"/>
      <x:c r="O119" s="50"/>
      <x:c r="P119" s="51"/>
      <x:c r="Q119" s="52"/>
      <x:c r="R119" s="38" t="str">
        <x:f aca="false">IF(OR($G119&lt;&gt;"Yes",$H119="",$I119="",$K119=""),"",ABS($H119-$I119)*$K119)</x:f>
        <x:v/>
      </x:c>
      <x:c r="S119" s="39" t="str">
        <x:f aca="false">IF(OR($G119&lt;&gt;"Yes",$H119="",$J119="",$K119=""),"",IF($F119="Short",$H119-$J119,$J119-$H119)*$K119-($H119+$J119)*$K119*Dashboard!$D$5/100)</x:f>
        <x:v/>
      </x:c>
      <x:c r="T119" s="40" t="str">
        <x:f aca="false">IF(OR($S119="",$R119="",$R119=0),"",$S119/$R119)</x:f>
        <x:v/>
      </x:c>
      <x:c r="U119" s="41" t="str">
        <x:f aca="false">IF(OR($L119="",$L119=0,$H119="",$I119=""),"",((100/$L119)-1)/(ABS($H119-$I119)/$H119*100))</x:f>
        <x:v/>
      </x:c>
      <x:c r="V119" s="42" t="str">
        <x:f aca="false">IFERROR(VALUE(LEFT($B119,2)),"")</x:f>
        <x:v/>
      </x:c>
      <x:c r="W119" s="2"/>
    </x:row>
    <x:row r="120" customFormat="false" ht="15" hidden="false" customHeight="false" outlineLevel="0" collapsed="false">
      <x:c r="A120" s="43"/>
      <x:c r="B120" s="44"/>
      <x:c r="C120" s="45"/>
      <x:c r="D120" s="45"/>
      <x:c r="E120" s="45"/>
      <x:c r="F120" s="45"/>
      <x:c r="G120" s="45"/>
      <x:c r="H120" s="46"/>
      <x:c r="I120" s="46"/>
      <x:c r="J120" s="46"/>
      <x:c r="K120" s="47"/>
      <x:c r="L120" s="48"/>
      <x:c r="M120" s="45"/>
      <x:c r="N120" s="49"/>
      <x:c r="O120" s="50"/>
      <x:c r="P120" s="51"/>
      <x:c r="Q120" s="52"/>
      <x:c r="R120" s="38" t="str">
        <x:f aca="false">IF(OR($G120&lt;&gt;"Yes",$H120="",$I120="",$K120=""),"",ABS($H120-$I120)*$K120)</x:f>
        <x:v/>
      </x:c>
      <x:c r="S120" s="39" t="str">
        <x:f aca="false">IF(OR($G120&lt;&gt;"Yes",$H120="",$J120="",$K120=""),"",IF($F120="Short",$H120-$J120,$J120-$H120)*$K120-($H120+$J120)*$K120*Dashboard!$D$5/100)</x:f>
        <x:v/>
      </x:c>
      <x:c r="T120" s="40" t="str">
        <x:f aca="false">IF(OR($S120="",$R120="",$R120=0),"",$S120/$R120)</x:f>
        <x:v/>
      </x:c>
      <x:c r="U120" s="41" t="str">
        <x:f aca="false">IF(OR($L120="",$L120=0,$H120="",$I120=""),"",((100/$L120)-1)/(ABS($H120-$I120)/$H120*100))</x:f>
        <x:v/>
      </x:c>
      <x:c r="V120" s="42" t="str">
        <x:f aca="false">IFERROR(VALUE(LEFT($B120,2)),"")</x:f>
        <x:v/>
      </x:c>
      <x:c r="W120" s="2"/>
    </x:row>
    <x:row r="121" customFormat="false" ht="15" hidden="false" customHeight="false" outlineLevel="0" collapsed="false">
      <x:c r="A121" s="43"/>
      <x:c r="B121" s="44"/>
      <x:c r="C121" s="45"/>
      <x:c r="D121" s="45"/>
      <x:c r="E121" s="45"/>
      <x:c r="F121" s="45"/>
      <x:c r="G121" s="45"/>
      <x:c r="H121" s="46"/>
      <x:c r="I121" s="46"/>
      <x:c r="J121" s="46"/>
      <x:c r="K121" s="47"/>
      <x:c r="L121" s="48"/>
      <x:c r="M121" s="45"/>
      <x:c r="N121" s="49"/>
      <x:c r="O121" s="50"/>
      <x:c r="P121" s="51"/>
      <x:c r="Q121" s="52"/>
      <x:c r="R121" s="38" t="str">
        <x:f aca="false">IF(OR($G121&lt;&gt;"Yes",$H121="",$I121="",$K121=""),"",ABS($H121-$I121)*$K121)</x:f>
        <x:v/>
      </x:c>
      <x:c r="S121" s="39" t="str">
        <x:f aca="false">IF(OR($G121&lt;&gt;"Yes",$H121="",$J121="",$K121=""),"",IF($F121="Short",$H121-$J121,$J121-$H121)*$K121-($H121+$J121)*$K121*Dashboard!$D$5/100)</x:f>
        <x:v/>
      </x:c>
      <x:c r="T121" s="40" t="str">
        <x:f aca="false">IF(OR($S121="",$R121="",$R121=0),"",$S121/$R121)</x:f>
        <x:v/>
      </x:c>
      <x:c r="U121" s="41" t="str">
        <x:f aca="false">IF(OR($L121="",$L121=0,$H121="",$I121=""),"",((100/$L121)-1)/(ABS($H121-$I121)/$H121*100))</x:f>
        <x:v/>
      </x:c>
      <x:c r="V121" s="42" t="str">
        <x:f aca="false">IFERROR(VALUE(LEFT($B121,2)),"")</x:f>
        <x:v/>
      </x:c>
      <x:c r="W121" s="2"/>
    </x:row>
    <x:row r="122" customFormat="false" ht="15" hidden="false" customHeight="false" outlineLevel="0" collapsed="false">
      <x:c r="A122" s="43"/>
      <x:c r="B122" s="44"/>
      <x:c r="C122" s="45"/>
      <x:c r="D122" s="45"/>
      <x:c r="E122" s="45"/>
      <x:c r="F122" s="45"/>
      <x:c r="G122" s="45"/>
      <x:c r="H122" s="46"/>
      <x:c r="I122" s="46"/>
      <x:c r="J122" s="46"/>
      <x:c r="K122" s="47"/>
      <x:c r="L122" s="48"/>
      <x:c r="M122" s="45"/>
      <x:c r="N122" s="49"/>
      <x:c r="O122" s="50"/>
      <x:c r="P122" s="51"/>
      <x:c r="Q122" s="52"/>
      <x:c r="R122" s="38" t="str">
        <x:f aca="false">IF(OR($G122&lt;&gt;"Yes",$H122="",$I122="",$K122=""),"",ABS($H122-$I122)*$K122)</x:f>
        <x:v/>
      </x:c>
      <x:c r="S122" s="39" t="str">
        <x:f aca="false">IF(OR($G122&lt;&gt;"Yes",$H122="",$J122="",$K122=""),"",IF($F122="Short",$H122-$J122,$J122-$H122)*$K122-($H122+$J122)*$K122*Dashboard!$D$5/100)</x:f>
        <x:v/>
      </x:c>
      <x:c r="T122" s="40" t="str">
        <x:f aca="false">IF(OR($S122="",$R122="",$R122=0),"",$S122/$R122)</x:f>
        <x:v/>
      </x:c>
      <x:c r="U122" s="41" t="str">
        <x:f aca="false">IF(OR($L122="",$L122=0,$H122="",$I122=""),"",((100/$L122)-1)/(ABS($H122-$I122)/$H122*100))</x:f>
        <x:v/>
      </x:c>
      <x:c r="V122" s="42" t="str">
        <x:f aca="false">IFERROR(VALUE(LEFT($B122,2)),"")</x:f>
        <x:v/>
      </x:c>
      <x:c r="W122" s="2"/>
    </x:row>
    <x:row r="123" customFormat="false" ht="15" hidden="false" customHeight="false" outlineLevel="0" collapsed="false">
      <x:c r="A123" s="43"/>
      <x:c r="B123" s="44"/>
      <x:c r="C123" s="45"/>
      <x:c r="D123" s="45"/>
      <x:c r="E123" s="45"/>
      <x:c r="F123" s="45"/>
      <x:c r="G123" s="45"/>
      <x:c r="H123" s="46"/>
      <x:c r="I123" s="46"/>
      <x:c r="J123" s="46"/>
      <x:c r="K123" s="47"/>
      <x:c r="L123" s="48"/>
      <x:c r="M123" s="45"/>
      <x:c r="N123" s="49"/>
      <x:c r="O123" s="50"/>
      <x:c r="P123" s="51"/>
      <x:c r="Q123" s="52"/>
      <x:c r="R123" s="38" t="str">
        <x:f aca="false">IF(OR($G123&lt;&gt;"Yes",$H123="",$I123="",$K123=""),"",ABS($H123-$I123)*$K123)</x:f>
        <x:v/>
      </x:c>
      <x:c r="S123" s="39" t="str">
        <x:f aca="false">IF(OR($G123&lt;&gt;"Yes",$H123="",$J123="",$K123=""),"",IF($F123="Short",$H123-$J123,$J123-$H123)*$K123-($H123+$J123)*$K123*Dashboard!$D$5/100)</x:f>
        <x:v/>
      </x:c>
      <x:c r="T123" s="40" t="str">
        <x:f aca="false">IF(OR($S123="",$R123="",$R123=0),"",$S123/$R123)</x:f>
        <x:v/>
      </x:c>
      <x:c r="U123" s="41" t="str">
        <x:f aca="false">IF(OR($L123="",$L123=0,$H123="",$I123=""),"",((100/$L123)-1)/(ABS($H123-$I123)/$H123*100))</x:f>
        <x:v/>
      </x:c>
      <x:c r="V123" s="42" t="str">
        <x:f aca="false">IFERROR(VALUE(LEFT($B123,2)),"")</x:f>
        <x:v/>
      </x:c>
      <x:c r="W123" s="2"/>
    </x:row>
    <x:row r="124" customFormat="false" ht="15" hidden="false" customHeight="false" outlineLevel="0" collapsed="false">
      <x:c r="A124" s="43"/>
      <x:c r="B124" s="44"/>
      <x:c r="C124" s="45"/>
      <x:c r="D124" s="45"/>
      <x:c r="E124" s="45"/>
      <x:c r="F124" s="45"/>
      <x:c r="G124" s="45"/>
      <x:c r="H124" s="46"/>
      <x:c r="I124" s="46"/>
      <x:c r="J124" s="46"/>
      <x:c r="K124" s="47"/>
      <x:c r="L124" s="48"/>
      <x:c r="M124" s="45"/>
      <x:c r="N124" s="49"/>
      <x:c r="O124" s="50"/>
      <x:c r="P124" s="51"/>
      <x:c r="Q124" s="52"/>
      <x:c r="R124" s="38" t="str">
        <x:f aca="false">IF(OR($G124&lt;&gt;"Yes",$H124="",$I124="",$K124=""),"",ABS($H124-$I124)*$K124)</x:f>
        <x:v/>
      </x:c>
      <x:c r="S124" s="39" t="str">
        <x:f aca="false">IF(OR($G124&lt;&gt;"Yes",$H124="",$J124="",$K124=""),"",IF($F124="Short",$H124-$J124,$J124-$H124)*$K124-($H124+$J124)*$K124*Dashboard!$D$5/100)</x:f>
        <x:v/>
      </x:c>
      <x:c r="T124" s="40" t="str">
        <x:f aca="false">IF(OR($S124="",$R124="",$R124=0),"",$S124/$R124)</x:f>
        <x:v/>
      </x:c>
      <x:c r="U124" s="41" t="str">
        <x:f aca="false">IF(OR($L124="",$L124=0,$H124="",$I124=""),"",((100/$L124)-1)/(ABS($H124-$I124)/$H124*100))</x:f>
        <x:v/>
      </x:c>
      <x:c r="V124" s="42" t="str">
        <x:f aca="false">IFERROR(VALUE(LEFT($B124,2)),"")</x:f>
        <x:v/>
      </x:c>
      <x:c r="W124" s="2"/>
    </x:row>
    <x:row r="125" customFormat="false" ht="15" hidden="false" customHeight="false" outlineLevel="0" collapsed="false">
      <x:c r="A125" s="43"/>
      <x:c r="B125" s="44"/>
      <x:c r="C125" s="45"/>
      <x:c r="D125" s="45"/>
      <x:c r="E125" s="45"/>
      <x:c r="F125" s="45"/>
      <x:c r="G125" s="45"/>
      <x:c r="H125" s="46"/>
      <x:c r="I125" s="46"/>
      <x:c r="J125" s="46"/>
      <x:c r="K125" s="47"/>
      <x:c r="L125" s="48"/>
      <x:c r="M125" s="45"/>
      <x:c r="N125" s="49"/>
      <x:c r="O125" s="50"/>
      <x:c r="P125" s="51"/>
      <x:c r="Q125" s="52"/>
      <x:c r="R125" s="38" t="str">
        <x:f aca="false">IF(OR($G125&lt;&gt;"Yes",$H125="",$I125="",$K125=""),"",ABS($H125-$I125)*$K125)</x:f>
        <x:v/>
      </x:c>
      <x:c r="S125" s="39" t="str">
        <x:f aca="false">IF(OR($G125&lt;&gt;"Yes",$H125="",$J125="",$K125=""),"",IF($F125="Short",$H125-$J125,$J125-$H125)*$K125-($H125+$J125)*$K125*Dashboard!$D$5/100)</x:f>
        <x:v/>
      </x:c>
      <x:c r="T125" s="40" t="str">
        <x:f aca="false">IF(OR($S125="",$R125="",$R125=0),"",$S125/$R125)</x:f>
        <x:v/>
      </x:c>
      <x:c r="U125" s="41" t="str">
        <x:f aca="false">IF(OR($L125="",$L125=0,$H125="",$I125=""),"",((100/$L125)-1)/(ABS($H125-$I125)/$H125*100))</x:f>
        <x:v/>
      </x:c>
      <x:c r="V125" s="42" t="str">
        <x:f aca="false">IFERROR(VALUE(LEFT($B125,2)),"")</x:f>
        <x:v/>
      </x:c>
      <x:c r="W125" s="2"/>
    </x:row>
    <x:row r="126" customFormat="false" ht="15" hidden="false" customHeight="false" outlineLevel="0" collapsed="false">
      <x:c r="A126" s="43"/>
      <x:c r="B126" s="44"/>
      <x:c r="C126" s="45"/>
      <x:c r="D126" s="45"/>
      <x:c r="E126" s="45"/>
      <x:c r="F126" s="45"/>
      <x:c r="G126" s="45"/>
      <x:c r="H126" s="46"/>
      <x:c r="I126" s="46"/>
      <x:c r="J126" s="46"/>
      <x:c r="K126" s="47"/>
      <x:c r="L126" s="48"/>
      <x:c r="M126" s="45"/>
      <x:c r="N126" s="49"/>
      <x:c r="O126" s="50"/>
      <x:c r="P126" s="51"/>
      <x:c r="Q126" s="52"/>
      <x:c r="R126" s="38" t="str">
        <x:f aca="false">IF(OR($G126&lt;&gt;"Yes",$H126="",$I126="",$K126=""),"",ABS($H126-$I126)*$K126)</x:f>
        <x:v/>
      </x:c>
      <x:c r="S126" s="39" t="str">
        <x:f aca="false">IF(OR($G126&lt;&gt;"Yes",$H126="",$J126="",$K126=""),"",IF($F126="Short",$H126-$J126,$J126-$H126)*$K126-($H126+$J126)*$K126*Dashboard!$D$5/100)</x:f>
        <x:v/>
      </x:c>
      <x:c r="T126" s="40" t="str">
        <x:f aca="false">IF(OR($S126="",$R126="",$R126=0),"",$S126/$R126)</x:f>
        <x:v/>
      </x:c>
      <x:c r="U126" s="41" t="str">
        <x:f aca="false">IF(OR($L126="",$L126=0,$H126="",$I126=""),"",((100/$L126)-1)/(ABS($H126-$I126)/$H126*100))</x:f>
        <x:v/>
      </x:c>
      <x:c r="V126" s="42" t="str">
        <x:f aca="false">IFERROR(VALUE(LEFT($B126,2)),"")</x:f>
        <x:v/>
      </x:c>
      <x:c r="W126" s="2"/>
    </x:row>
    <x:row r="127" customFormat="false" ht="15" hidden="false" customHeight="false" outlineLevel="0" collapsed="false">
      <x:c r="A127" s="43"/>
      <x:c r="B127" s="44"/>
      <x:c r="C127" s="45"/>
      <x:c r="D127" s="45"/>
      <x:c r="E127" s="45"/>
      <x:c r="F127" s="45"/>
      <x:c r="G127" s="45"/>
      <x:c r="H127" s="46"/>
      <x:c r="I127" s="46"/>
      <x:c r="J127" s="46"/>
      <x:c r="K127" s="47"/>
      <x:c r="L127" s="48"/>
      <x:c r="M127" s="45"/>
      <x:c r="N127" s="49"/>
      <x:c r="O127" s="50"/>
      <x:c r="P127" s="51"/>
      <x:c r="Q127" s="52"/>
      <x:c r="R127" s="38" t="str">
        <x:f aca="false">IF(OR($G127&lt;&gt;"Yes",$H127="",$I127="",$K127=""),"",ABS($H127-$I127)*$K127)</x:f>
        <x:v/>
      </x:c>
      <x:c r="S127" s="39" t="str">
        <x:f aca="false">IF(OR($G127&lt;&gt;"Yes",$H127="",$J127="",$K127=""),"",IF($F127="Short",$H127-$J127,$J127-$H127)*$K127-($H127+$J127)*$K127*Dashboard!$D$5/100)</x:f>
        <x:v/>
      </x:c>
      <x:c r="T127" s="40" t="str">
        <x:f aca="false">IF(OR($S127="",$R127="",$R127=0),"",$S127/$R127)</x:f>
        <x:v/>
      </x:c>
      <x:c r="U127" s="41" t="str">
        <x:f aca="false">IF(OR($L127="",$L127=0,$H127="",$I127=""),"",((100/$L127)-1)/(ABS($H127-$I127)/$H127*100))</x:f>
        <x:v/>
      </x:c>
      <x:c r="V127" s="42" t="str">
        <x:f aca="false">IFERROR(VALUE(LEFT($B127,2)),"")</x:f>
        <x:v/>
      </x:c>
      <x:c r="W127" s="2"/>
    </x:row>
    <x:row r="128" customFormat="false" ht="15" hidden="false" customHeight="false" outlineLevel="0" collapsed="false">
      <x:c r="A128" s="43"/>
      <x:c r="B128" s="44"/>
      <x:c r="C128" s="45"/>
      <x:c r="D128" s="45"/>
      <x:c r="E128" s="45"/>
      <x:c r="F128" s="45"/>
      <x:c r="G128" s="45"/>
      <x:c r="H128" s="46"/>
      <x:c r="I128" s="46"/>
      <x:c r="J128" s="46"/>
      <x:c r="K128" s="47"/>
      <x:c r="L128" s="48"/>
      <x:c r="M128" s="45"/>
      <x:c r="N128" s="49"/>
      <x:c r="O128" s="50"/>
      <x:c r="P128" s="51"/>
      <x:c r="Q128" s="52"/>
      <x:c r="R128" s="38" t="str">
        <x:f aca="false">IF(OR($G128&lt;&gt;"Yes",$H128="",$I128="",$K128=""),"",ABS($H128-$I128)*$K128)</x:f>
        <x:v/>
      </x:c>
      <x:c r="S128" s="39" t="str">
        <x:f aca="false">IF(OR($G128&lt;&gt;"Yes",$H128="",$J128="",$K128=""),"",IF($F128="Short",$H128-$J128,$J128-$H128)*$K128-($H128+$J128)*$K128*Dashboard!$D$5/100)</x:f>
        <x:v/>
      </x:c>
      <x:c r="T128" s="40" t="str">
        <x:f aca="false">IF(OR($S128="",$R128="",$R128=0),"",$S128/$R128)</x:f>
        <x:v/>
      </x:c>
      <x:c r="U128" s="41" t="str">
        <x:f aca="false">IF(OR($L128="",$L128=0,$H128="",$I128=""),"",((100/$L128)-1)/(ABS($H128-$I128)/$H128*100))</x:f>
        <x:v/>
      </x:c>
      <x:c r="V128" s="42" t="str">
        <x:f aca="false">IFERROR(VALUE(LEFT($B128,2)),"")</x:f>
        <x:v/>
      </x:c>
      <x:c r="W128" s="2"/>
    </x:row>
    <x:row r="129" customFormat="false" ht="15" hidden="false" customHeight="false" outlineLevel="0" collapsed="false">
      <x:c r="A129" s="43"/>
      <x:c r="B129" s="44"/>
      <x:c r="C129" s="45"/>
      <x:c r="D129" s="45"/>
      <x:c r="E129" s="45"/>
      <x:c r="F129" s="45"/>
      <x:c r="G129" s="45"/>
      <x:c r="H129" s="46"/>
      <x:c r="I129" s="46"/>
      <x:c r="J129" s="46"/>
      <x:c r="K129" s="47"/>
      <x:c r="L129" s="48"/>
      <x:c r="M129" s="45"/>
      <x:c r="N129" s="49"/>
      <x:c r="O129" s="50"/>
      <x:c r="P129" s="51"/>
      <x:c r="Q129" s="52"/>
      <x:c r="R129" s="38" t="str">
        <x:f aca="false">IF(OR($G129&lt;&gt;"Yes",$H129="",$I129="",$K129=""),"",ABS($H129-$I129)*$K129)</x:f>
        <x:v/>
      </x:c>
      <x:c r="S129" s="39" t="str">
        <x:f aca="false">IF(OR($G129&lt;&gt;"Yes",$H129="",$J129="",$K129=""),"",IF($F129="Short",$H129-$J129,$J129-$H129)*$K129-($H129+$J129)*$K129*Dashboard!$D$5/100)</x:f>
        <x:v/>
      </x:c>
      <x:c r="T129" s="40" t="str">
        <x:f aca="false">IF(OR($S129="",$R129="",$R129=0),"",$S129/$R129)</x:f>
        <x:v/>
      </x:c>
      <x:c r="U129" s="41" t="str">
        <x:f aca="false">IF(OR($L129="",$L129=0,$H129="",$I129=""),"",((100/$L129)-1)/(ABS($H129-$I129)/$H129*100))</x:f>
        <x:v/>
      </x:c>
      <x:c r="V129" s="42" t="str">
        <x:f aca="false">IFERROR(VALUE(LEFT($B129,2)),"")</x:f>
        <x:v/>
      </x:c>
      <x:c r="W129" s="2"/>
    </x:row>
    <x:row r="130" customFormat="false" ht="15" hidden="false" customHeight="false" outlineLevel="0" collapsed="false">
      <x:c r="A130" s="43"/>
      <x:c r="B130" s="44"/>
      <x:c r="C130" s="45"/>
      <x:c r="D130" s="45"/>
      <x:c r="E130" s="45"/>
      <x:c r="F130" s="45"/>
      <x:c r="G130" s="45"/>
      <x:c r="H130" s="46"/>
      <x:c r="I130" s="46"/>
      <x:c r="J130" s="46"/>
      <x:c r="K130" s="47"/>
      <x:c r="L130" s="48"/>
      <x:c r="M130" s="45"/>
      <x:c r="N130" s="49"/>
      <x:c r="O130" s="50"/>
      <x:c r="P130" s="51"/>
      <x:c r="Q130" s="52"/>
      <x:c r="R130" s="38" t="str">
        <x:f aca="false">IF(OR($G130&lt;&gt;"Yes",$H130="",$I130="",$K130=""),"",ABS($H130-$I130)*$K130)</x:f>
        <x:v/>
      </x:c>
      <x:c r="S130" s="39" t="str">
        <x:f aca="false">IF(OR($G130&lt;&gt;"Yes",$H130="",$J130="",$K130=""),"",IF($F130="Short",$H130-$J130,$J130-$H130)*$K130-($H130+$J130)*$K130*Dashboard!$D$5/100)</x:f>
        <x:v/>
      </x:c>
      <x:c r="T130" s="40" t="str">
        <x:f aca="false">IF(OR($S130="",$R130="",$R130=0),"",$S130/$R130)</x:f>
        <x:v/>
      </x:c>
      <x:c r="U130" s="41" t="str">
        <x:f aca="false">IF(OR($L130="",$L130=0,$H130="",$I130=""),"",((100/$L130)-1)/(ABS($H130-$I130)/$H130*100))</x:f>
        <x:v/>
      </x:c>
      <x:c r="V130" s="42" t="str">
        <x:f aca="false">IFERROR(VALUE(LEFT($B130,2)),"")</x:f>
        <x:v/>
      </x:c>
      <x:c r="W130" s="2"/>
    </x:row>
    <x:row r="131" customFormat="false" ht="15" hidden="false" customHeight="false" outlineLevel="0" collapsed="false">
      <x:c r="A131" s="43"/>
      <x:c r="B131" s="44"/>
      <x:c r="C131" s="45"/>
      <x:c r="D131" s="45"/>
      <x:c r="E131" s="45"/>
      <x:c r="F131" s="45"/>
      <x:c r="G131" s="45"/>
      <x:c r="H131" s="46"/>
      <x:c r="I131" s="46"/>
      <x:c r="J131" s="46"/>
      <x:c r="K131" s="47"/>
      <x:c r="L131" s="48"/>
      <x:c r="M131" s="45"/>
      <x:c r="N131" s="49"/>
      <x:c r="O131" s="50"/>
      <x:c r="P131" s="51"/>
      <x:c r="Q131" s="52"/>
      <x:c r="R131" s="38" t="str">
        <x:f aca="false">IF(OR($G131&lt;&gt;"Yes",$H131="",$I131="",$K131=""),"",ABS($H131-$I131)*$K131)</x:f>
        <x:v/>
      </x:c>
      <x:c r="S131" s="39" t="str">
        <x:f aca="false">IF(OR($G131&lt;&gt;"Yes",$H131="",$J131="",$K131=""),"",IF($F131="Short",$H131-$J131,$J131-$H131)*$K131-($H131+$J131)*$K131*Dashboard!$D$5/100)</x:f>
        <x:v/>
      </x:c>
      <x:c r="T131" s="40" t="str">
        <x:f aca="false">IF(OR($S131="",$R131="",$R131=0),"",$S131/$R131)</x:f>
        <x:v/>
      </x:c>
      <x:c r="U131" s="41" t="str">
        <x:f aca="false">IF(OR($L131="",$L131=0,$H131="",$I131=""),"",((100/$L131)-1)/(ABS($H131-$I131)/$H131*100))</x:f>
        <x:v/>
      </x:c>
      <x:c r="V131" s="42" t="str">
        <x:f aca="false">IFERROR(VALUE(LEFT($B131,2)),"")</x:f>
        <x:v/>
      </x:c>
      <x:c r="W131" s="2"/>
    </x:row>
    <x:row r="132" customFormat="false" ht="15" hidden="false" customHeight="false" outlineLevel="0" collapsed="false">
      <x:c r="A132" s="43"/>
      <x:c r="B132" s="44"/>
      <x:c r="C132" s="45"/>
      <x:c r="D132" s="45"/>
      <x:c r="E132" s="45"/>
      <x:c r="F132" s="45"/>
      <x:c r="G132" s="45"/>
      <x:c r="H132" s="46"/>
      <x:c r="I132" s="46"/>
      <x:c r="J132" s="46"/>
      <x:c r="K132" s="47"/>
      <x:c r="L132" s="48"/>
      <x:c r="M132" s="45"/>
      <x:c r="N132" s="49"/>
      <x:c r="O132" s="50"/>
      <x:c r="P132" s="51"/>
      <x:c r="Q132" s="52"/>
      <x:c r="R132" s="38" t="str">
        <x:f aca="false">IF(OR($G132&lt;&gt;"Yes",$H132="",$I132="",$K132=""),"",ABS($H132-$I132)*$K132)</x:f>
        <x:v/>
      </x:c>
      <x:c r="S132" s="39" t="str">
        <x:f aca="false">IF(OR($G132&lt;&gt;"Yes",$H132="",$J132="",$K132=""),"",IF($F132="Short",$H132-$J132,$J132-$H132)*$K132-($H132+$J132)*$K132*Dashboard!$D$5/100)</x:f>
        <x:v/>
      </x:c>
      <x:c r="T132" s="40" t="str">
        <x:f aca="false">IF(OR($S132="",$R132="",$R132=0),"",$S132/$R132)</x:f>
        <x:v/>
      </x:c>
      <x:c r="U132" s="41" t="str">
        <x:f aca="false">IF(OR($L132="",$L132=0,$H132="",$I132=""),"",((100/$L132)-1)/(ABS($H132-$I132)/$H132*100))</x:f>
        <x:v/>
      </x:c>
      <x:c r="V132" s="42" t="str">
        <x:f aca="false">IFERROR(VALUE(LEFT($B132,2)),"")</x:f>
        <x:v/>
      </x:c>
      <x:c r="W132" s="2"/>
    </x:row>
    <x:row r="133" customFormat="false" ht="15" hidden="false" customHeight="false" outlineLevel="0" collapsed="false">
      <x:c r="A133" s="43"/>
      <x:c r="B133" s="44"/>
      <x:c r="C133" s="45"/>
      <x:c r="D133" s="45"/>
      <x:c r="E133" s="45"/>
      <x:c r="F133" s="45"/>
      <x:c r="G133" s="45"/>
      <x:c r="H133" s="46"/>
      <x:c r="I133" s="46"/>
      <x:c r="J133" s="46"/>
      <x:c r="K133" s="47"/>
      <x:c r="L133" s="48"/>
      <x:c r="M133" s="45"/>
      <x:c r="N133" s="49"/>
      <x:c r="O133" s="50"/>
      <x:c r="P133" s="51"/>
      <x:c r="Q133" s="52"/>
      <x:c r="R133" s="38" t="str">
        <x:f aca="false">IF(OR($G133&lt;&gt;"Yes",$H133="",$I133="",$K133=""),"",ABS($H133-$I133)*$K133)</x:f>
        <x:v/>
      </x:c>
      <x:c r="S133" s="39" t="str">
        <x:f aca="false">IF(OR($G133&lt;&gt;"Yes",$H133="",$J133="",$K133=""),"",IF($F133="Short",$H133-$J133,$J133-$H133)*$K133-($H133+$J133)*$K133*Dashboard!$D$5/100)</x:f>
        <x:v/>
      </x:c>
      <x:c r="T133" s="40" t="str">
        <x:f aca="false">IF(OR($S133="",$R133="",$R133=0),"",$S133/$R133)</x:f>
        <x:v/>
      </x:c>
      <x:c r="U133" s="41" t="str">
        <x:f aca="false">IF(OR($L133="",$L133=0,$H133="",$I133=""),"",((100/$L133)-1)/(ABS($H133-$I133)/$H133*100))</x:f>
        <x:v/>
      </x:c>
      <x:c r="V133" s="42" t="str">
        <x:f aca="false">IFERROR(VALUE(LEFT($B133,2)),"")</x:f>
        <x:v/>
      </x:c>
      <x:c r="W133" s="2"/>
    </x:row>
    <x:row r="134" customFormat="false" ht="15" hidden="false" customHeight="false" outlineLevel="0" collapsed="false">
      <x:c r="A134" s="43"/>
      <x:c r="B134" s="44"/>
      <x:c r="C134" s="45"/>
      <x:c r="D134" s="45"/>
      <x:c r="E134" s="45"/>
      <x:c r="F134" s="45"/>
      <x:c r="G134" s="45"/>
      <x:c r="H134" s="46"/>
      <x:c r="I134" s="46"/>
      <x:c r="J134" s="46"/>
      <x:c r="K134" s="47"/>
      <x:c r="L134" s="48"/>
      <x:c r="M134" s="45"/>
      <x:c r="N134" s="49"/>
      <x:c r="O134" s="50"/>
      <x:c r="P134" s="51"/>
      <x:c r="Q134" s="52"/>
      <x:c r="R134" s="38" t="str">
        <x:f aca="false">IF(OR($G134&lt;&gt;"Yes",$H134="",$I134="",$K134=""),"",ABS($H134-$I134)*$K134)</x:f>
        <x:v/>
      </x:c>
      <x:c r="S134" s="39" t="str">
        <x:f aca="false">IF(OR($G134&lt;&gt;"Yes",$H134="",$J134="",$K134=""),"",IF($F134="Short",$H134-$J134,$J134-$H134)*$K134-($H134+$J134)*$K134*Dashboard!$D$5/100)</x:f>
        <x:v/>
      </x:c>
      <x:c r="T134" s="40" t="str">
        <x:f aca="false">IF(OR($S134="",$R134="",$R134=0),"",$S134/$R134)</x:f>
        <x:v/>
      </x:c>
      <x:c r="U134" s="41" t="str">
        <x:f aca="false">IF(OR($L134="",$L134=0,$H134="",$I134=""),"",((100/$L134)-1)/(ABS($H134-$I134)/$H134*100))</x:f>
        <x:v/>
      </x:c>
      <x:c r="V134" s="42" t="str">
        <x:f aca="false">IFERROR(VALUE(LEFT($B134,2)),"")</x:f>
        <x:v/>
      </x:c>
      <x:c r="W134" s="2"/>
    </x:row>
    <x:row r="135" customFormat="false" ht="15" hidden="false" customHeight="false" outlineLevel="0" collapsed="false">
      <x:c r="A135" s="43"/>
      <x:c r="B135" s="44"/>
      <x:c r="C135" s="45"/>
      <x:c r="D135" s="45"/>
      <x:c r="E135" s="45"/>
      <x:c r="F135" s="45"/>
      <x:c r="G135" s="45"/>
      <x:c r="H135" s="46"/>
      <x:c r="I135" s="46"/>
      <x:c r="J135" s="46"/>
      <x:c r="K135" s="47"/>
      <x:c r="L135" s="48"/>
      <x:c r="M135" s="45"/>
      <x:c r="N135" s="49"/>
      <x:c r="O135" s="50"/>
      <x:c r="P135" s="51"/>
      <x:c r="Q135" s="52"/>
      <x:c r="R135" s="38" t="str">
        <x:f aca="false">IF(OR($G135&lt;&gt;"Yes",$H135="",$I135="",$K135=""),"",ABS($H135-$I135)*$K135)</x:f>
        <x:v/>
      </x:c>
      <x:c r="S135" s="39" t="str">
        <x:f aca="false">IF(OR($G135&lt;&gt;"Yes",$H135="",$J135="",$K135=""),"",IF($F135="Short",$H135-$J135,$J135-$H135)*$K135-($H135+$J135)*$K135*Dashboard!$D$5/100)</x:f>
        <x:v/>
      </x:c>
      <x:c r="T135" s="40" t="str">
        <x:f aca="false">IF(OR($S135="",$R135="",$R135=0),"",$S135/$R135)</x:f>
        <x:v/>
      </x:c>
      <x:c r="U135" s="41" t="str">
        <x:f aca="false">IF(OR($L135="",$L135=0,$H135="",$I135=""),"",((100/$L135)-1)/(ABS($H135-$I135)/$H135*100))</x:f>
        <x:v/>
      </x:c>
      <x:c r="V135" s="42" t="str">
        <x:f aca="false">IFERROR(VALUE(LEFT($B135,2)),"")</x:f>
        <x:v/>
      </x:c>
      <x:c r="W135" s="2"/>
    </x:row>
    <x:row r="136" customFormat="false" ht="15" hidden="false" customHeight="false" outlineLevel="0" collapsed="false">
      <x:c r="A136" s="43"/>
      <x:c r="B136" s="44"/>
      <x:c r="C136" s="45"/>
      <x:c r="D136" s="45"/>
      <x:c r="E136" s="45"/>
      <x:c r="F136" s="45"/>
      <x:c r="G136" s="45"/>
      <x:c r="H136" s="46"/>
      <x:c r="I136" s="46"/>
      <x:c r="J136" s="46"/>
      <x:c r="K136" s="47"/>
      <x:c r="L136" s="48"/>
      <x:c r="M136" s="45"/>
      <x:c r="N136" s="49"/>
      <x:c r="O136" s="50"/>
      <x:c r="P136" s="51"/>
      <x:c r="Q136" s="52"/>
      <x:c r="R136" s="38" t="str">
        <x:f aca="false">IF(OR($G136&lt;&gt;"Yes",$H136="",$I136="",$K136=""),"",ABS($H136-$I136)*$K136)</x:f>
        <x:v/>
      </x:c>
      <x:c r="S136" s="39" t="str">
        <x:f aca="false">IF(OR($G136&lt;&gt;"Yes",$H136="",$J136="",$K136=""),"",IF($F136="Short",$H136-$J136,$J136-$H136)*$K136-($H136+$J136)*$K136*Dashboard!$D$5/100)</x:f>
        <x:v/>
      </x:c>
      <x:c r="T136" s="40" t="str">
        <x:f aca="false">IF(OR($S136="",$R136="",$R136=0),"",$S136/$R136)</x:f>
        <x:v/>
      </x:c>
      <x:c r="U136" s="41" t="str">
        <x:f aca="false">IF(OR($L136="",$L136=0,$H136="",$I136=""),"",((100/$L136)-1)/(ABS($H136-$I136)/$H136*100))</x:f>
        <x:v/>
      </x:c>
      <x:c r="V136" s="42" t="str">
        <x:f aca="false">IFERROR(VALUE(LEFT($B136,2)),"")</x:f>
        <x:v/>
      </x:c>
      <x:c r="W136" s="2"/>
    </x:row>
    <x:row r="137" customFormat="false" ht="15" hidden="false" customHeight="false" outlineLevel="0" collapsed="false">
      <x:c r="A137" s="43"/>
      <x:c r="B137" s="44"/>
      <x:c r="C137" s="45"/>
      <x:c r="D137" s="45"/>
      <x:c r="E137" s="45"/>
      <x:c r="F137" s="45"/>
      <x:c r="G137" s="45"/>
      <x:c r="H137" s="46"/>
      <x:c r="I137" s="46"/>
      <x:c r="J137" s="46"/>
      <x:c r="K137" s="47"/>
      <x:c r="L137" s="48"/>
      <x:c r="M137" s="45"/>
      <x:c r="N137" s="49"/>
      <x:c r="O137" s="50"/>
      <x:c r="P137" s="51"/>
      <x:c r="Q137" s="52"/>
      <x:c r="R137" s="38" t="str">
        <x:f aca="false">IF(OR($G137&lt;&gt;"Yes",$H137="",$I137="",$K137=""),"",ABS($H137-$I137)*$K137)</x:f>
        <x:v/>
      </x:c>
      <x:c r="S137" s="39" t="str">
        <x:f aca="false">IF(OR($G137&lt;&gt;"Yes",$H137="",$J137="",$K137=""),"",IF($F137="Short",$H137-$J137,$J137-$H137)*$K137-($H137+$J137)*$K137*Dashboard!$D$5/100)</x:f>
        <x:v/>
      </x:c>
      <x:c r="T137" s="40" t="str">
        <x:f aca="false">IF(OR($S137="",$R137="",$R137=0),"",$S137/$R137)</x:f>
        <x:v/>
      </x:c>
      <x:c r="U137" s="41" t="str">
        <x:f aca="false">IF(OR($L137="",$L137=0,$H137="",$I137=""),"",((100/$L137)-1)/(ABS($H137-$I137)/$H137*100))</x:f>
        <x:v/>
      </x:c>
      <x:c r="V137" s="42" t="str">
        <x:f aca="false">IFERROR(VALUE(LEFT($B137,2)),"")</x:f>
        <x:v/>
      </x:c>
      <x:c r="W137" s="2"/>
    </x:row>
    <x:row r="138" customFormat="false" ht="15" hidden="false" customHeight="false" outlineLevel="0" collapsed="false">
      <x:c r="A138" s="43"/>
      <x:c r="B138" s="44"/>
      <x:c r="C138" s="45"/>
      <x:c r="D138" s="45"/>
      <x:c r="E138" s="45"/>
      <x:c r="F138" s="45"/>
      <x:c r="G138" s="45"/>
      <x:c r="H138" s="46"/>
      <x:c r="I138" s="46"/>
      <x:c r="J138" s="46"/>
      <x:c r="K138" s="47"/>
      <x:c r="L138" s="48"/>
      <x:c r="M138" s="45"/>
      <x:c r="N138" s="49"/>
      <x:c r="O138" s="50"/>
      <x:c r="P138" s="51"/>
      <x:c r="Q138" s="52"/>
      <x:c r="R138" s="38" t="str">
        <x:f aca="false">IF(OR($G138&lt;&gt;"Yes",$H138="",$I138="",$K138=""),"",ABS($H138-$I138)*$K138)</x:f>
        <x:v/>
      </x:c>
      <x:c r="S138" s="39" t="str">
        <x:f aca="false">IF(OR($G138&lt;&gt;"Yes",$H138="",$J138="",$K138=""),"",IF($F138="Short",$H138-$J138,$J138-$H138)*$K138-($H138+$J138)*$K138*Dashboard!$D$5/100)</x:f>
        <x:v/>
      </x:c>
      <x:c r="T138" s="40" t="str">
        <x:f aca="false">IF(OR($S138="",$R138="",$R138=0),"",$S138/$R138)</x:f>
        <x:v/>
      </x:c>
      <x:c r="U138" s="41" t="str">
        <x:f aca="false">IF(OR($L138="",$L138=0,$H138="",$I138=""),"",((100/$L138)-1)/(ABS($H138-$I138)/$H138*100))</x:f>
        <x:v/>
      </x:c>
      <x:c r="V138" s="42" t="str">
        <x:f aca="false">IFERROR(VALUE(LEFT($B138,2)),"")</x:f>
        <x:v/>
      </x:c>
      <x:c r="W138" s="2"/>
    </x:row>
    <x:row r="139" customFormat="false" ht="15" hidden="false" customHeight="false" outlineLevel="0" collapsed="false">
      <x:c r="A139" s="43"/>
      <x:c r="B139" s="44"/>
      <x:c r="C139" s="45"/>
      <x:c r="D139" s="45"/>
      <x:c r="E139" s="45"/>
      <x:c r="F139" s="45"/>
      <x:c r="G139" s="45"/>
      <x:c r="H139" s="46"/>
      <x:c r="I139" s="46"/>
      <x:c r="J139" s="46"/>
      <x:c r="K139" s="47"/>
      <x:c r="L139" s="48"/>
      <x:c r="M139" s="45"/>
      <x:c r="N139" s="49"/>
      <x:c r="O139" s="50"/>
      <x:c r="P139" s="51"/>
      <x:c r="Q139" s="52"/>
      <x:c r="R139" s="38" t="str">
        <x:f aca="false">IF(OR($G139&lt;&gt;"Yes",$H139="",$I139="",$K139=""),"",ABS($H139-$I139)*$K139)</x:f>
        <x:v/>
      </x:c>
      <x:c r="S139" s="39" t="str">
        <x:f aca="false">IF(OR($G139&lt;&gt;"Yes",$H139="",$J139="",$K139=""),"",IF($F139="Short",$H139-$J139,$J139-$H139)*$K139-($H139+$J139)*$K139*Dashboard!$D$5/100)</x:f>
        <x:v/>
      </x:c>
      <x:c r="T139" s="40" t="str">
        <x:f aca="false">IF(OR($S139="",$R139="",$R139=0),"",$S139/$R139)</x:f>
        <x:v/>
      </x:c>
      <x:c r="U139" s="41" t="str">
        <x:f aca="false">IF(OR($L139="",$L139=0,$H139="",$I139=""),"",((100/$L139)-1)/(ABS($H139-$I139)/$H139*100))</x:f>
        <x:v/>
      </x:c>
      <x:c r="V139" s="42" t="str">
        <x:f aca="false">IFERROR(VALUE(LEFT($B139,2)),"")</x:f>
        <x:v/>
      </x:c>
      <x:c r="W139" s="2"/>
    </x:row>
    <x:row r="140" customFormat="false" ht="15" hidden="false" customHeight="false" outlineLevel="0" collapsed="false">
      <x:c r="A140" s="43"/>
      <x:c r="B140" s="44"/>
      <x:c r="C140" s="45"/>
      <x:c r="D140" s="45"/>
      <x:c r="E140" s="45"/>
      <x:c r="F140" s="45"/>
      <x:c r="G140" s="45"/>
      <x:c r="H140" s="46"/>
      <x:c r="I140" s="46"/>
      <x:c r="J140" s="46"/>
      <x:c r="K140" s="47"/>
      <x:c r="L140" s="48"/>
      <x:c r="M140" s="45"/>
      <x:c r="N140" s="49"/>
      <x:c r="O140" s="50"/>
      <x:c r="P140" s="51"/>
      <x:c r="Q140" s="52"/>
      <x:c r="R140" s="38" t="str">
        <x:f aca="false">IF(OR($G140&lt;&gt;"Yes",$H140="",$I140="",$K140=""),"",ABS($H140-$I140)*$K140)</x:f>
        <x:v/>
      </x:c>
      <x:c r="S140" s="39" t="str">
        <x:f aca="false">IF(OR($G140&lt;&gt;"Yes",$H140="",$J140="",$K140=""),"",IF($F140="Short",$H140-$J140,$J140-$H140)*$K140-($H140+$J140)*$K140*Dashboard!$D$5/100)</x:f>
        <x:v/>
      </x:c>
      <x:c r="T140" s="40" t="str">
        <x:f aca="false">IF(OR($S140="",$R140="",$R140=0),"",$S140/$R140)</x:f>
        <x:v/>
      </x:c>
      <x:c r="U140" s="41" t="str">
        <x:f aca="false">IF(OR($L140="",$L140=0,$H140="",$I140=""),"",((100/$L140)-1)/(ABS($H140-$I140)/$H140*100))</x:f>
        <x:v/>
      </x:c>
      <x:c r="V140" s="42" t="str">
        <x:f aca="false">IFERROR(VALUE(LEFT($B140,2)),"")</x:f>
        <x:v/>
      </x:c>
      <x:c r="W140" s="2"/>
    </x:row>
    <x:row r="141" customFormat="false" ht="15" hidden="false" customHeight="false" outlineLevel="0" collapsed="false">
      <x:c r="A141" s="43"/>
      <x:c r="B141" s="44"/>
      <x:c r="C141" s="45"/>
      <x:c r="D141" s="45"/>
      <x:c r="E141" s="45"/>
      <x:c r="F141" s="45"/>
      <x:c r="G141" s="45"/>
      <x:c r="H141" s="46"/>
      <x:c r="I141" s="46"/>
      <x:c r="J141" s="46"/>
      <x:c r="K141" s="47"/>
      <x:c r="L141" s="48"/>
      <x:c r="M141" s="45"/>
      <x:c r="N141" s="49"/>
      <x:c r="O141" s="50"/>
      <x:c r="P141" s="51"/>
      <x:c r="Q141" s="52"/>
      <x:c r="R141" s="38" t="str">
        <x:f aca="false">IF(OR($G141&lt;&gt;"Yes",$H141="",$I141="",$K141=""),"",ABS($H141-$I141)*$K141)</x:f>
        <x:v/>
      </x:c>
      <x:c r="S141" s="39" t="str">
        <x:f aca="false">IF(OR($G141&lt;&gt;"Yes",$H141="",$J141="",$K141=""),"",IF($F141="Short",$H141-$J141,$J141-$H141)*$K141-($H141+$J141)*$K141*Dashboard!$D$5/100)</x:f>
        <x:v/>
      </x:c>
      <x:c r="T141" s="40" t="str">
        <x:f aca="false">IF(OR($S141="",$R141="",$R141=0),"",$S141/$R141)</x:f>
        <x:v/>
      </x:c>
      <x:c r="U141" s="41" t="str">
        <x:f aca="false">IF(OR($L141="",$L141=0,$H141="",$I141=""),"",((100/$L141)-1)/(ABS($H141-$I141)/$H141*100))</x:f>
        <x:v/>
      </x:c>
      <x:c r="V141" s="42" t="str">
        <x:f aca="false">IFERROR(VALUE(LEFT($B141,2)),"")</x:f>
        <x:v/>
      </x:c>
      <x:c r="W141" s="2"/>
    </x:row>
    <x:row r="142" customFormat="false" ht="15" hidden="false" customHeight="false" outlineLevel="0" collapsed="false">
      <x:c r="A142" s="43"/>
      <x:c r="B142" s="44"/>
      <x:c r="C142" s="45"/>
      <x:c r="D142" s="45"/>
      <x:c r="E142" s="45"/>
      <x:c r="F142" s="45"/>
      <x:c r="G142" s="45"/>
      <x:c r="H142" s="46"/>
      <x:c r="I142" s="46"/>
      <x:c r="J142" s="46"/>
      <x:c r="K142" s="47"/>
      <x:c r="L142" s="48"/>
      <x:c r="M142" s="45"/>
      <x:c r="N142" s="49"/>
      <x:c r="O142" s="50"/>
      <x:c r="P142" s="51"/>
      <x:c r="Q142" s="52"/>
      <x:c r="R142" s="38" t="str">
        <x:f aca="false">IF(OR($G142&lt;&gt;"Yes",$H142="",$I142="",$K142=""),"",ABS($H142-$I142)*$K142)</x:f>
        <x:v/>
      </x:c>
      <x:c r="S142" s="39" t="str">
        <x:f aca="false">IF(OR($G142&lt;&gt;"Yes",$H142="",$J142="",$K142=""),"",IF($F142="Short",$H142-$J142,$J142-$H142)*$K142-($H142+$J142)*$K142*Dashboard!$D$5/100)</x:f>
        <x:v/>
      </x:c>
      <x:c r="T142" s="40" t="str">
        <x:f aca="false">IF(OR($S142="",$R142="",$R142=0),"",$S142/$R142)</x:f>
        <x:v/>
      </x:c>
      <x:c r="U142" s="41" t="str">
        <x:f aca="false">IF(OR($L142="",$L142=0,$H142="",$I142=""),"",((100/$L142)-1)/(ABS($H142-$I142)/$H142*100))</x:f>
        <x:v/>
      </x:c>
      <x:c r="V142" s="42" t="str">
        <x:f aca="false">IFERROR(VALUE(LEFT($B142,2)),"")</x:f>
        <x:v/>
      </x:c>
      <x:c r="W142" s="2"/>
    </x:row>
    <x:row r="143" customFormat="false" ht="15" hidden="false" customHeight="false" outlineLevel="0" collapsed="false">
      <x:c r="A143" s="43"/>
      <x:c r="B143" s="44"/>
      <x:c r="C143" s="45"/>
      <x:c r="D143" s="45"/>
      <x:c r="E143" s="45"/>
      <x:c r="F143" s="45"/>
      <x:c r="G143" s="45"/>
      <x:c r="H143" s="46"/>
      <x:c r="I143" s="46"/>
      <x:c r="J143" s="46"/>
      <x:c r="K143" s="47"/>
      <x:c r="L143" s="48"/>
      <x:c r="M143" s="45"/>
      <x:c r="N143" s="49"/>
      <x:c r="O143" s="50"/>
      <x:c r="P143" s="51"/>
      <x:c r="Q143" s="52"/>
      <x:c r="R143" s="38" t="str">
        <x:f aca="false">IF(OR($G143&lt;&gt;"Yes",$H143="",$I143="",$K143=""),"",ABS($H143-$I143)*$K143)</x:f>
        <x:v/>
      </x:c>
      <x:c r="S143" s="39" t="str">
        <x:f aca="false">IF(OR($G143&lt;&gt;"Yes",$H143="",$J143="",$K143=""),"",IF($F143="Short",$H143-$J143,$J143-$H143)*$K143-($H143+$J143)*$K143*Dashboard!$D$5/100)</x:f>
        <x:v/>
      </x:c>
      <x:c r="T143" s="40" t="str">
        <x:f aca="false">IF(OR($S143="",$R143="",$R143=0),"",$S143/$R143)</x:f>
        <x:v/>
      </x:c>
      <x:c r="U143" s="41" t="str">
        <x:f aca="false">IF(OR($L143="",$L143=0,$H143="",$I143=""),"",((100/$L143)-1)/(ABS($H143-$I143)/$H143*100))</x:f>
        <x:v/>
      </x:c>
      <x:c r="V143" s="42" t="str">
        <x:f aca="false">IFERROR(VALUE(LEFT($B143,2)),"")</x:f>
        <x:v/>
      </x:c>
      <x:c r="W143" s="2"/>
    </x:row>
    <x:row r="144" customFormat="false" ht="15" hidden="false" customHeight="false" outlineLevel="0" collapsed="false">
      <x:c r="A144" s="43"/>
      <x:c r="B144" s="44"/>
      <x:c r="C144" s="45"/>
      <x:c r="D144" s="45"/>
      <x:c r="E144" s="45"/>
      <x:c r="F144" s="45"/>
      <x:c r="G144" s="45"/>
      <x:c r="H144" s="46"/>
      <x:c r="I144" s="46"/>
      <x:c r="J144" s="46"/>
      <x:c r="K144" s="47"/>
      <x:c r="L144" s="48"/>
      <x:c r="M144" s="45"/>
      <x:c r="N144" s="49"/>
      <x:c r="O144" s="50"/>
      <x:c r="P144" s="51"/>
      <x:c r="Q144" s="52"/>
      <x:c r="R144" s="38" t="str">
        <x:f aca="false">IF(OR($G144&lt;&gt;"Yes",$H144="",$I144="",$K144=""),"",ABS($H144-$I144)*$K144)</x:f>
        <x:v/>
      </x:c>
      <x:c r="S144" s="39" t="str">
        <x:f aca="false">IF(OR($G144&lt;&gt;"Yes",$H144="",$J144="",$K144=""),"",IF($F144="Short",$H144-$J144,$J144-$H144)*$K144-($H144+$J144)*$K144*Dashboard!$D$5/100)</x:f>
        <x:v/>
      </x:c>
      <x:c r="T144" s="40" t="str">
        <x:f aca="false">IF(OR($S144="",$R144="",$R144=0),"",$S144/$R144)</x:f>
        <x:v/>
      </x:c>
      <x:c r="U144" s="41" t="str">
        <x:f aca="false">IF(OR($L144="",$L144=0,$H144="",$I144=""),"",((100/$L144)-1)/(ABS($H144-$I144)/$H144*100))</x:f>
        <x:v/>
      </x:c>
      <x:c r="V144" s="42" t="str">
        <x:f aca="false">IFERROR(VALUE(LEFT($B144,2)),"")</x:f>
        <x:v/>
      </x:c>
      <x:c r="W144" s="2"/>
    </x:row>
    <x:row r="145" customFormat="false" ht="15" hidden="false" customHeight="false" outlineLevel="0" collapsed="false">
      <x:c r="A145" s="43"/>
      <x:c r="B145" s="44"/>
      <x:c r="C145" s="45"/>
      <x:c r="D145" s="45"/>
      <x:c r="E145" s="45"/>
      <x:c r="F145" s="45"/>
      <x:c r="G145" s="45"/>
      <x:c r="H145" s="46"/>
      <x:c r="I145" s="46"/>
      <x:c r="J145" s="46"/>
      <x:c r="K145" s="47"/>
      <x:c r="L145" s="48"/>
      <x:c r="M145" s="45"/>
      <x:c r="N145" s="49"/>
      <x:c r="O145" s="50"/>
      <x:c r="P145" s="51"/>
      <x:c r="Q145" s="52"/>
      <x:c r="R145" s="38" t="str">
        <x:f aca="false">IF(OR($G145&lt;&gt;"Yes",$H145="",$I145="",$K145=""),"",ABS($H145-$I145)*$K145)</x:f>
        <x:v/>
      </x:c>
      <x:c r="S145" s="39" t="str">
        <x:f aca="false">IF(OR($G145&lt;&gt;"Yes",$H145="",$J145="",$K145=""),"",IF($F145="Short",$H145-$J145,$J145-$H145)*$K145-($H145+$J145)*$K145*Dashboard!$D$5/100)</x:f>
        <x:v/>
      </x:c>
      <x:c r="T145" s="40" t="str">
        <x:f aca="false">IF(OR($S145="",$R145="",$R145=0),"",$S145/$R145)</x:f>
        <x:v/>
      </x:c>
      <x:c r="U145" s="41" t="str">
        <x:f aca="false">IF(OR($L145="",$L145=0,$H145="",$I145=""),"",((100/$L145)-1)/(ABS($H145-$I145)/$H145*100))</x:f>
        <x:v/>
      </x:c>
      <x:c r="V145" s="42" t="str">
        <x:f aca="false">IFERROR(VALUE(LEFT($B145,2)),"")</x:f>
        <x:v/>
      </x:c>
      <x:c r="W145" s="2"/>
    </x:row>
    <x:row r="146" customFormat="false" ht="15" hidden="false" customHeight="false" outlineLevel="0" collapsed="false">
      <x:c r="A146" s="43"/>
      <x:c r="B146" s="44"/>
      <x:c r="C146" s="45"/>
      <x:c r="D146" s="45"/>
      <x:c r="E146" s="45"/>
      <x:c r="F146" s="45"/>
      <x:c r="G146" s="45"/>
      <x:c r="H146" s="46"/>
      <x:c r="I146" s="46"/>
      <x:c r="J146" s="46"/>
      <x:c r="K146" s="47"/>
      <x:c r="L146" s="48"/>
      <x:c r="M146" s="45"/>
      <x:c r="N146" s="49"/>
      <x:c r="O146" s="50"/>
      <x:c r="P146" s="51"/>
      <x:c r="Q146" s="52"/>
      <x:c r="R146" s="38" t="str">
        <x:f aca="false">IF(OR($G146&lt;&gt;"Yes",$H146="",$I146="",$K146=""),"",ABS($H146-$I146)*$K146)</x:f>
        <x:v/>
      </x:c>
      <x:c r="S146" s="39" t="str">
        <x:f aca="false">IF(OR($G146&lt;&gt;"Yes",$H146="",$J146="",$K146=""),"",IF($F146="Short",$H146-$J146,$J146-$H146)*$K146-($H146+$J146)*$K146*Dashboard!$D$5/100)</x:f>
        <x:v/>
      </x:c>
      <x:c r="T146" s="40" t="str">
        <x:f aca="false">IF(OR($S146="",$R146="",$R146=0),"",$S146/$R146)</x:f>
        <x:v/>
      </x:c>
      <x:c r="U146" s="41" t="str">
        <x:f aca="false">IF(OR($L146="",$L146=0,$H146="",$I146=""),"",((100/$L146)-1)/(ABS($H146-$I146)/$H146*100))</x:f>
        <x:v/>
      </x:c>
      <x:c r="V146" s="42" t="str">
        <x:f aca="false">IFERROR(VALUE(LEFT($B146,2)),"")</x:f>
        <x:v/>
      </x:c>
      <x:c r="W146" s="2"/>
    </x:row>
    <x:row r="147" customFormat="false" ht="15" hidden="false" customHeight="false" outlineLevel="0" collapsed="false">
      <x:c r="A147" s="43"/>
      <x:c r="B147" s="44"/>
      <x:c r="C147" s="45"/>
      <x:c r="D147" s="45"/>
      <x:c r="E147" s="45"/>
      <x:c r="F147" s="45"/>
      <x:c r="G147" s="45"/>
      <x:c r="H147" s="46"/>
      <x:c r="I147" s="46"/>
      <x:c r="J147" s="46"/>
      <x:c r="K147" s="47"/>
      <x:c r="L147" s="48"/>
      <x:c r="M147" s="45"/>
      <x:c r="N147" s="49"/>
      <x:c r="O147" s="50"/>
      <x:c r="P147" s="51"/>
      <x:c r="Q147" s="52"/>
      <x:c r="R147" s="38" t="str">
        <x:f aca="false">IF(OR($G147&lt;&gt;"Yes",$H147="",$I147="",$K147=""),"",ABS($H147-$I147)*$K147)</x:f>
        <x:v/>
      </x:c>
      <x:c r="S147" s="39" t="str">
        <x:f aca="false">IF(OR($G147&lt;&gt;"Yes",$H147="",$J147="",$K147=""),"",IF($F147="Short",$H147-$J147,$J147-$H147)*$K147-($H147+$J147)*$K147*Dashboard!$D$5/100)</x:f>
        <x:v/>
      </x:c>
      <x:c r="T147" s="40" t="str">
        <x:f aca="false">IF(OR($S147="",$R147="",$R147=0),"",$S147/$R147)</x:f>
        <x:v/>
      </x:c>
      <x:c r="U147" s="41" t="str">
        <x:f aca="false">IF(OR($L147="",$L147=0,$H147="",$I147=""),"",((100/$L147)-1)/(ABS($H147-$I147)/$H147*100))</x:f>
        <x:v/>
      </x:c>
      <x:c r="V147" s="42" t="str">
        <x:f aca="false">IFERROR(VALUE(LEFT($B147,2)),"")</x:f>
        <x:v/>
      </x:c>
      <x:c r="W147" s="2"/>
    </x:row>
    <x:row r="148" customFormat="false" ht="15" hidden="false" customHeight="false" outlineLevel="0" collapsed="false">
      <x:c r="A148" s="43"/>
      <x:c r="B148" s="44"/>
      <x:c r="C148" s="45"/>
      <x:c r="D148" s="45"/>
      <x:c r="E148" s="45"/>
      <x:c r="F148" s="45"/>
      <x:c r="G148" s="45"/>
      <x:c r="H148" s="46"/>
      <x:c r="I148" s="46"/>
      <x:c r="J148" s="46"/>
      <x:c r="K148" s="47"/>
      <x:c r="L148" s="48"/>
      <x:c r="M148" s="45"/>
      <x:c r="N148" s="49"/>
      <x:c r="O148" s="50"/>
      <x:c r="P148" s="51"/>
      <x:c r="Q148" s="52"/>
      <x:c r="R148" s="38" t="str">
        <x:f aca="false">IF(OR($G148&lt;&gt;"Yes",$H148="",$I148="",$K148=""),"",ABS($H148-$I148)*$K148)</x:f>
        <x:v/>
      </x:c>
      <x:c r="S148" s="39" t="str">
        <x:f aca="false">IF(OR($G148&lt;&gt;"Yes",$H148="",$J148="",$K148=""),"",IF($F148="Short",$H148-$J148,$J148-$H148)*$K148-($H148+$J148)*$K148*Dashboard!$D$5/100)</x:f>
        <x:v/>
      </x:c>
      <x:c r="T148" s="40" t="str">
        <x:f aca="false">IF(OR($S148="",$R148="",$R148=0),"",$S148/$R148)</x:f>
        <x:v/>
      </x:c>
      <x:c r="U148" s="41" t="str">
        <x:f aca="false">IF(OR($L148="",$L148=0,$H148="",$I148=""),"",((100/$L148)-1)/(ABS($H148-$I148)/$H148*100))</x:f>
        <x:v/>
      </x:c>
      <x:c r="V148" s="42" t="str">
        <x:f aca="false">IFERROR(VALUE(LEFT($B148,2)),"")</x:f>
        <x:v/>
      </x:c>
      <x:c r="W148" s="2"/>
    </x:row>
    <x:row r="149" customFormat="false" ht="15" hidden="false" customHeight="false" outlineLevel="0" collapsed="false">
      <x:c r="A149" s="43"/>
      <x:c r="B149" s="44"/>
      <x:c r="C149" s="45"/>
      <x:c r="D149" s="45"/>
      <x:c r="E149" s="45"/>
      <x:c r="F149" s="45"/>
      <x:c r="G149" s="45"/>
      <x:c r="H149" s="46"/>
      <x:c r="I149" s="46"/>
      <x:c r="J149" s="46"/>
      <x:c r="K149" s="47"/>
      <x:c r="L149" s="48"/>
      <x:c r="M149" s="45"/>
      <x:c r="N149" s="49"/>
      <x:c r="O149" s="50"/>
      <x:c r="P149" s="51"/>
      <x:c r="Q149" s="52"/>
      <x:c r="R149" s="38" t="str">
        <x:f aca="false">IF(OR($G149&lt;&gt;"Yes",$H149="",$I149="",$K149=""),"",ABS($H149-$I149)*$K149)</x:f>
        <x:v/>
      </x:c>
      <x:c r="S149" s="39" t="str">
        <x:f aca="false">IF(OR($G149&lt;&gt;"Yes",$H149="",$J149="",$K149=""),"",IF($F149="Short",$H149-$J149,$J149-$H149)*$K149-($H149+$J149)*$K149*Dashboard!$D$5/100)</x:f>
        <x:v/>
      </x:c>
      <x:c r="T149" s="40" t="str">
        <x:f aca="false">IF(OR($S149="",$R149="",$R149=0),"",$S149/$R149)</x:f>
        <x:v/>
      </x:c>
      <x:c r="U149" s="41" t="str">
        <x:f aca="false">IF(OR($L149="",$L149=0,$H149="",$I149=""),"",((100/$L149)-1)/(ABS($H149-$I149)/$H149*100))</x:f>
        <x:v/>
      </x:c>
      <x:c r="V149" s="42" t="str">
        <x:f aca="false">IFERROR(VALUE(LEFT($B149,2)),"")</x:f>
        <x:v/>
      </x:c>
      <x:c r="W149" s="2"/>
    </x:row>
    <x:row r="150" customFormat="false" ht="15" hidden="false" customHeight="false" outlineLevel="0" collapsed="false">
      <x:c r="A150" s="43"/>
      <x:c r="B150" s="44"/>
      <x:c r="C150" s="45"/>
      <x:c r="D150" s="45"/>
      <x:c r="E150" s="45"/>
      <x:c r="F150" s="45"/>
      <x:c r="G150" s="45"/>
      <x:c r="H150" s="46"/>
      <x:c r="I150" s="46"/>
      <x:c r="J150" s="46"/>
      <x:c r="K150" s="47"/>
      <x:c r="L150" s="48"/>
      <x:c r="M150" s="45"/>
      <x:c r="N150" s="49"/>
      <x:c r="O150" s="50"/>
      <x:c r="P150" s="51"/>
      <x:c r="Q150" s="52"/>
      <x:c r="R150" s="38" t="str">
        <x:f aca="false">IF(OR($G150&lt;&gt;"Yes",$H150="",$I150="",$K150=""),"",ABS($H150-$I150)*$K150)</x:f>
        <x:v/>
      </x:c>
      <x:c r="S150" s="39" t="str">
        <x:f aca="false">IF(OR($G150&lt;&gt;"Yes",$H150="",$J150="",$K150=""),"",IF($F150="Short",$H150-$J150,$J150-$H150)*$K150-($H150+$J150)*$K150*Dashboard!$D$5/100)</x:f>
        <x:v/>
      </x:c>
      <x:c r="T150" s="40" t="str">
        <x:f aca="false">IF(OR($S150="",$R150="",$R150=0),"",$S150/$R150)</x:f>
        <x:v/>
      </x:c>
      <x:c r="U150" s="41" t="str">
        <x:f aca="false">IF(OR($L150="",$L150=0,$H150="",$I150=""),"",((100/$L150)-1)/(ABS($H150-$I150)/$H150*100))</x:f>
        <x:v/>
      </x:c>
      <x:c r="V150" s="42" t="str">
        <x:f aca="false">IFERROR(VALUE(LEFT($B150,2)),"")</x:f>
        <x:v/>
      </x:c>
      <x:c r="W150" s="2"/>
    </x:row>
    <x:row r="151" customFormat="false" ht="15" hidden="false" customHeight="false" outlineLevel="0" collapsed="false">
      <x:c r="A151" s="43"/>
      <x:c r="B151" s="44"/>
      <x:c r="C151" s="45"/>
      <x:c r="D151" s="45"/>
      <x:c r="E151" s="45"/>
      <x:c r="F151" s="45"/>
      <x:c r="G151" s="45"/>
      <x:c r="H151" s="46"/>
      <x:c r="I151" s="46"/>
      <x:c r="J151" s="46"/>
      <x:c r="K151" s="47"/>
      <x:c r="L151" s="48"/>
      <x:c r="M151" s="45"/>
      <x:c r="N151" s="49"/>
      <x:c r="O151" s="50"/>
      <x:c r="P151" s="51"/>
      <x:c r="Q151" s="52"/>
      <x:c r="R151" s="38" t="str">
        <x:f aca="false">IF(OR($G151&lt;&gt;"Yes",$H151="",$I151="",$K151=""),"",ABS($H151-$I151)*$K151)</x:f>
        <x:v/>
      </x:c>
      <x:c r="S151" s="39" t="str">
        <x:f aca="false">IF(OR($G151&lt;&gt;"Yes",$H151="",$J151="",$K151=""),"",IF($F151="Short",$H151-$J151,$J151-$H151)*$K151-($H151+$J151)*$K151*Dashboard!$D$5/100)</x:f>
        <x:v/>
      </x:c>
      <x:c r="T151" s="40" t="str">
        <x:f aca="false">IF(OR($S151="",$R151="",$R151=0),"",$S151/$R151)</x:f>
        <x:v/>
      </x:c>
      <x:c r="U151" s="41" t="str">
        <x:f aca="false">IF(OR($L151="",$L151=0,$H151="",$I151=""),"",((100/$L151)-1)/(ABS($H151-$I151)/$H151*100))</x:f>
        <x:v/>
      </x:c>
      <x:c r="V151" s="42" t="str">
        <x:f aca="false">IFERROR(VALUE(LEFT($B151,2)),"")</x:f>
        <x:v/>
      </x:c>
      <x:c r="W151" s="2"/>
    </x:row>
    <x:row r="152" customFormat="false" ht="15" hidden="false" customHeight="false" outlineLevel="0" collapsed="false">
      <x:c r="A152" s="43"/>
      <x:c r="B152" s="44"/>
      <x:c r="C152" s="45"/>
      <x:c r="D152" s="45"/>
      <x:c r="E152" s="45"/>
      <x:c r="F152" s="45"/>
      <x:c r="G152" s="45"/>
      <x:c r="H152" s="46"/>
      <x:c r="I152" s="46"/>
      <x:c r="J152" s="46"/>
      <x:c r="K152" s="47"/>
      <x:c r="L152" s="48"/>
      <x:c r="M152" s="45"/>
      <x:c r="N152" s="49"/>
      <x:c r="O152" s="50"/>
      <x:c r="P152" s="51"/>
      <x:c r="Q152" s="52"/>
      <x:c r="R152" s="38" t="str">
        <x:f aca="false">IF(OR($G152&lt;&gt;"Yes",$H152="",$I152="",$K152=""),"",ABS($H152-$I152)*$K152)</x:f>
        <x:v/>
      </x:c>
      <x:c r="S152" s="39" t="str">
        <x:f aca="false">IF(OR($G152&lt;&gt;"Yes",$H152="",$J152="",$K152=""),"",IF($F152="Short",$H152-$J152,$J152-$H152)*$K152-($H152+$J152)*$K152*Dashboard!$D$5/100)</x:f>
        <x:v/>
      </x:c>
      <x:c r="T152" s="40" t="str">
        <x:f aca="false">IF(OR($S152="",$R152="",$R152=0),"",$S152/$R152)</x:f>
        <x:v/>
      </x:c>
      <x:c r="U152" s="41" t="str">
        <x:f aca="false">IF(OR($L152="",$L152=0,$H152="",$I152=""),"",((100/$L152)-1)/(ABS($H152-$I152)/$H152*100))</x:f>
        <x:v/>
      </x:c>
      <x:c r="V152" s="42" t="str">
        <x:f aca="false">IFERROR(VALUE(LEFT($B152,2)),"")</x:f>
        <x:v/>
      </x:c>
      <x:c r="W152" s="2"/>
    </x:row>
    <x:row r="153" customFormat="false" ht="15" hidden="false" customHeight="false" outlineLevel="0" collapsed="false">
      <x:c r="A153" s="43"/>
      <x:c r="B153" s="44"/>
      <x:c r="C153" s="45"/>
      <x:c r="D153" s="45"/>
      <x:c r="E153" s="45"/>
      <x:c r="F153" s="45"/>
      <x:c r="G153" s="45"/>
      <x:c r="H153" s="46"/>
      <x:c r="I153" s="46"/>
      <x:c r="J153" s="46"/>
      <x:c r="K153" s="47"/>
      <x:c r="L153" s="48"/>
      <x:c r="M153" s="45"/>
      <x:c r="N153" s="49"/>
      <x:c r="O153" s="50"/>
      <x:c r="P153" s="51"/>
      <x:c r="Q153" s="52"/>
      <x:c r="R153" s="38" t="str">
        <x:f aca="false">IF(OR($G153&lt;&gt;"Yes",$H153="",$I153="",$K153=""),"",ABS($H153-$I153)*$K153)</x:f>
        <x:v/>
      </x:c>
      <x:c r="S153" s="39" t="str">
        <x:f aca="false">IF(OR($G153&lt;&gt;"Yes",$H153="",$J153="",$K153=""),"",IF($F153="Short",$H153-$J153,$J153-$H153)*$K153-($H153+$J153)*$K153*Dashboard!$D$5/100)</x:f>
        <x:v/>
      </x:c>
      <x:c r="T153" s="40" t="str">
        <x:f aca="false">IF(OR($S153="",$R153="",$R153=0),"",$S153/$R153)</x:f>
        <x:v/>
      </x:c>
      <x:c r="U153" s="41" t="str">
        <x:f aca="false">IF(OR($L153="",$L153=0,$H153="",$I153=""),"",((100/$L153)-1)/(ABS($H153-$I153)/$H153*100))</x:f>
        <x:v/>
      </x:c>
      <x:c r="V153" s="42" t="str">
        <x:f aca="false">IFERROR(VALUE(LEFT($B153,2)),"")</x:f>
        <x:v/>
      </x:c>
      <x:c r="W153" s="2"/>
    </x:row>
    <x:row r="154" customFormat="false" ht="15" hidden="false" customHeight="false" outlineLevel="0" collapsed="false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customFormat="false" ht="15" hidden="false" customHeight="false" outlineLevel="0" collapsed="false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</x:sheetData>
  <x:mergeCells count="5">
    <x:mergeCell ref="A1:U1"/>
    <x:mergeCell ref="A2:G2"/>
    <x:mergeCell ref="H2:M2"/>
    <x:mergeCell ref="N2:Q2"/>
    <x:mergeCell ref="R2:U2"/>
  </x:mergeCells>
  <x:conditionalFormatting sqref="T4:T153">
    <x:cfRule type="cellIs" dxfId="1" priority="2" aboveAverage="0" percent="0" bottom="0" operator="greaterThan" text="" rank="0" equalAverage="0">
      <x:formula>0</x:formula>
    </x:cfRule>
    <x:cfRule type="cellIs" dxfId="2" priority="3" aboveAverage="0" percent="0" bottom="0" operator="lessThan" text="" rank="0" equalAverage="0">
      <x:formula>0</x:formula>
    </x:cfRule>
  </x:conditionalFormatting>
  <x:conditionalFormatting sqref="U4:U153">
    <x:cfRule type="cellIs" dxfId="3" priority="4" aboveAverage="0" percent="0" bottom="0" operator="lessThan" text="" rank="0" equalAverage="0">
      <x:formula>3</x:formula>
    </x:cfRule>
  </x:conditionalFormatting>
  <x:conditionalFormatting sqref="G4:G153">
    <x:cfRule type="cellIs" dxfId="4" priority="5" aboveAverage="0" percent="0" bottom="0" operator="equal" text="" rank="0" equalAverage="0">
      <x:formula>"No"</x:formula>
    </x:cfRule>
  </x:conditionalFormatting>
  <x:dataValidations count="6">
    <x:dataValidation type="list" errorStyle="stop" operator="between" allowBlank="true" showDropDown="false" showInputMessage="false" showErrorMessage="false" sqref="D4:D153">
      <x:formula1>"Spring,Upthrust,Sweep,Failed retest"</x:formula1>
      <x:formula2>0</x:formula2>
    </x:dataValidation>
    <x:dataValidation type="list" errorStyle="stop" operator="between" allowBlank="true" showDropDown="false" showInputMessage="false" showErrorMessage="false" sqref="E4:E153">
      <x:formula1>"A,B,C,D"</x:formula1>
      <x:formula2>0</x:formula2>
    </x:dataValidation>
    <x:dataValidation type="list" errorStyle="stop" operator="between" allowBlank="true" showDropDown="false" showInputMessage="false" showErrorMessage="false" sqref="F4:F153">
      <x:formula1>"Long,Short"</x:formula1>
      <x:formula2>0</x:formula2>
    </x:dataValidation>
    <x:dataValidation type="list" errorStyle="stop" operator="between" allowBlank="true" showDropDown="false" showInputMessage="false" showErrorMessage="false" sqref="G4:G153">
      <x:formula1>"Yes,No"</x:formula1>
      <x:formula2>0</x:formula2>
    </x:dataValidation>
    <x:dataValidation type="list" errorStyle="stop" operator="between" allowBlank="true" showDropDown="false" showInputMessage="false" showErrorMessage="false" sqref="M4:M153">
      <x:formula1>"Yes,No"</x:formula1>
      <x:formula2>0</x:formula2>
    </x:dataValidation>
    <x:dataValidation type="list" errorStyle="stop" operator="between" allowBlank="true" showDropDown="false" showInputMessage="false" showErrorMessage="false" sqref="P4:P153">
      <x:formula1>"Yes,No"</x:formula1>
      <x:formula2>0</x:formula2>
    </x:dataValidation>
  </x:dataValidations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L84"/>
  <x:sheetViews>
    <x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796875" defaultRowHeight="15" zeroHeight="false" outlineLevelRow="0" outlineLevelCol="0"/>
  <x:cols>
    <x:col min="1" max="1" width="13" style="0" hidden="false" customWidth="true" outlineLevel="0" collapsed="false"/>
    <x:col min="2" max="2" width="10" style="0" hidden="false" customWidth="true" outlineLevel="0" collapsed="false"/>
    <x:col min="3" max="4" width="5" style="0" hidden="false" customWidth="true" outlineLevel="0" collapsed="false"/>
    <x:col min="5" max="6" width="6" style="0" hidden="false" customWidth="true" outlineLevel="0" collapsed="false"/>
    <x:col min="7" max="8" width="7" style="0" hidden="false" customWidth="true" outlineLevel="0" collapsed="false"/>
    <x:col min="9" max="12" width="11" style="0" hidden="false" customWidth="true" outlineLevel="0" collapsed="false"/>
  </x:cols>
  <x:sheetData>
    <x:row r="1" customFormat="false" ht="24" hidden="false" customHeight="true" outlineLevel="0" collapsed="false">
      <x:c r="A1" s="1" t="s">
        <x:v>76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customFormat="false" ht="18" hidden="false" customHeight="true" outlineLevel="0" collapsed="false">
      <x:c r="A2" s="53" t="s">
        <x:v>77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 customFormat="false" ht="15" hidden="false" customHeight="false" outlineLevel="0" collapsed="false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customFormat="false" ht="15" hidden="false" customHeight="false" outlineLevel="0" collapsed="false">
      <x:c r="A4" s="3" t="s">
        <x:v>78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customFormat="false" ht="15" hidden="false" customHeight="true" outlineLevel="0" collapsed="false">
      <x:c r="A5" s="54" t="s">
        <x:v>79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</x:row>
    <x:row r="6" customFormat="false" ht="15" hidden="false" customHeight="false" outlineLevel="0" collapsed="false">
      <x:c r="A6" s="55"/>
      <x:c r="B6" s="2"/>
      <x:c r="C6" s="55" t="s">
        <x:v>80</x:v>
      </x:c>
      <x:c r="D6" s="2"/>
      <x:c r="E6" s="55" t="s">
        <x:v>81</x:v>
      </x:c>
      <x:c r="F6" s="2"/>
      <x:c r="G6" s="55" t="s">
        <x:v>82</x:v>
      </x:c>
      <x:c r="H6" s="2"/>
      <x:c r="I6" s="55" t="s">
        <x:v>83</x:v>
      </x:c>
      <x:c r="J6" s="2"/>
      <x:c r="K6" s="2"/>
      <x:c r="L6" s="2"/>
    </x:row>
    <x:row r="7" customFormat="false" ht="15" hidden="false" customHeight="true" outlineLevel="0" collapsed="false">
      <x:c r="A7" s="56" t="s">
        <x:v>84</x:v>
      </x:c>
      <x:c r="B7" s="56"/>
      <x:c r="C7" s="57" t="n">
        <x:f aca="false">COUNTIFS('Trade Log'!$G$4:$G$153,"Yes",'Trade Log'!$T$4:$T$153,"&lt;&gt;",'Trade Log'!$E$4:$E$153,"A")</x:f>
        <x:v>1</x:v>
      </x:c>
      <x:c r="D7" s="57"/>
      <x:c r="E7" s="58" t="n">
        <x:f aca="false">IFERROR(AVERAGEIFS('Trade Log'!$T$4:$T$153,'Trade Log'!$G$4:$G$153,"Yes",'Trade Log'!$T$4:$T$153,"&lt;&gt;",'Trade Log'!$E$4:$E$153,"A"),0)</x:f>
        <x:v>1.75526279069767</x:v>
      </x:c>
      <x:c r="F7" s="58"/>
      <x:c r="G7" s="59" t="n">
        <x:f aca="false">SUMIFS('Trade Log'!$S$4:$S$153,'Trade Log'!$G$4:$G$153,"Yes",'Trade Log'!$E$4:$E$153,"A")</x:f>
        <x:v>875.52508</x:v>
      </x:c>
      <x:c r="H7" s="59"/>
      <x:c r="I7" s="60" t="s">
        <x:v>85</x:v>
      </x:c>
      <x:c r="J7" s="60"/>
      <x:c r="K7" s="60"/>
      <x:c r="L7" s="60"/>
    </x:row>
    <x:row r="8" customFormat="false" ht="15" hidden="false" customHeight="false" outlineLevel="0" collapsed="false">
      <x:c r="A8" s="56" t="s">
        <x:v>86</x:v>
      </x:c>
      <x:c r="B8" s="56"/>
      <x:c r="C8" s="57" t="n">
        <x:f aca="false">COUNTIFS('Trade Log'!$G$4:$G$153,"Yes",'Trade Log'!$T$4:$T$153,"&lt;&gt;",'Trade Log'!$E$4:$E$153,"B")</x:f>
        <x:v>0</x:v>
      </x:c>
      <x:c r="D8" s="57"/>
      <x:c r="E8" s="58" t="n">
        <x:f aca="false">IFERROR(AVERAGEIFS('Trade Log'!$T$4:$T$153,'Trade Log'!$G$4:$G$153,"Yes",'Trade Log'!$T$4:$T$153,"&lt;&gt;",'Trade Log'!$E$4:$E$153,"B"),0)</x:f>
        <x:v>0</x:v>
      </x:c>
      <x:c r="F8" s="58"/>
      <x:c r="G8" s="59" t="n">
        <x:f aca="false">SUMIFS('Trade Log'!$S$4:$S$153,'Trade Log'!$G$4:$G$153,"Yes",'Trade Log'!$E$4:$E$153,"B")</x:f>
        <x:v>0</x:v>
      </x:c>
      <x:c r="H8" s="59"/>
      <x:c r="I8" s="60"/>
      <x:c r="J8" s="60"/>
      <x:c r="K8" s="60"/>
      <x:c r="L8" s="60"/>
    </x:row>
    <x:row r="9" customFormat="false" ht="15" hidden="false" customHeight="false" outlineLevel="0" collapsed="false">
      <x:c r="A9" s="56" t="s">
        <x:v>87</x:v>
      </x:c>
      <x:c r="B9" s="56"/>
      <x:c r="C9" s="57" t="n">
        <x:f aca="false">COUNTIFS('Trade Log'!$G$4:$G$153,"Yes",'Trade Log'!$T$4:$T$153,"&lt;&gt;",'Trade Log'!$E$4:$E$153,"C")</x:f>
        <x:v>0</x:v>
      </x:c>
      <x:c r="D9" s="57"/>
      <x:c r="E9" s="58" t="n">
        <x:f aca="false">IFERROR(AVERAGEIFS('Trade Log'!$T$4:$T$153,'Trade Log'!$G$4:$G$153,"Yes",'Trade Log'!$T$4:$T$153,"&lt;&gt;",'Trade Log'!$E$4:$E$153,"C"),0)</x:f>
        <x:v>0</x:v>
      </x:c>
      <x:c r="F9" s="58"/>
      <x:c r="G9" s="59" t="n">
        <x:f aca="false">SUMIFS('Trade Log'!$S$4:$S$153,'Trade Log'!$G$4:$G$153,"Yes",'Trade Log'!$E$4:$E$153,"C")</x:f>
        <x:v>0</x:v>
      </x:c>
      <x:c r="H9" s="59"/>
      <x:c r="I9" s="60"/>
      <x:c r="J9" s="60"/>
      <x:c r="K9" s="60"/>
      <x:c r="L9" s="60"/>
    </x:row>
    <x:row r="10" customFormat="false" ht="15" hidden="false" customHeight="false" outlineLevel="0" collapsed="false">
      <x:c r="A10" s="56" t="s">
        <x:v>88</x:v>
      </x:c>
      <x:c r="B10" s="56"/>
      <x:c r="C10" s="57" t="n">
        <x:f aca="false">COUNTIFS('Trade Log'!$G$4:$G$153,"Yes",'Trade Log'!$T$4:$T$153,"&lt;&gt;",'Trade Log'!$E$4:$E$153,"D")</x:f>
        <x:v>0</x:v>
      </x:c>
      <x:c r="D10" s="57"/>
      <x:c r="E10" s="58" t="n">
        <x:f aca="false">IFERROR(AVERAGEIFS('Trade Log'!$T$4:$T$153,'Trade Log'!$G$4:$G$153,"Yes",'Trade Log'!$T$4:$T$153,"&lt;&gt;",'Trade Log'!$E$4:$E$153,"D"),0)</x:f>
        <x:v>0</x:v>
      </x:c>
      <x:c r="F10" s="58"/>
      <x:c r="G10" s="59" t="n">
        <x:f aca="false">SUMIFS('Trade Log'!$S$4:$S$153,'Trade Log'!$G$4:$G$153,"Yes",'Trade Log'!$E$4:$E$153,"D")</x:f>
        <x:v>0</x:v>
      </x:c>
      <x:c r="H10" s="59"/>
      <x:c r="I10" s="60"/>
      <x:c r="J10" s="60"/>
      <x:c r="K10" s="60"/>
      <x:c r="L10" s="60"/>
    </x:row>
    <x:row r="11" customFormat="false" ht="15" hidden="false" customHeight="false" outlineLevel="0" collapsed="false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customFormat="false" ht="15" hidden="false" customHeight="false" outlineLevel="0" collapsed="false">
      <x:c r="A12" s="3" t="s">
        <x:v>89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customFormat="false" ht="15" hidden="false" customHeight="true" outlineLevel="0" collapsed="false">
      <x:c r="A13" s="54" t="s">
        <x:v>90</x:v>
      </x:c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</x:row>
    <x:row r="14" customFormat="false" ht="15" hidden="false" customHeight="false" outlineLevel="0" collapsed="false">
      <x:c r="A14" s="55"/>
      <x:c r="B14" s="2"/>
      <x:c r="C14" s="55" t="s">
        <x:v>80</x:v>
      </x:c>
      <x:c r="D14" s="2"/>
      <x:c r="E14" s="55" t="s">
        <x:v>81</x:v>
      </x:c>
      <x:c r="F14" s="2"/>
      <x:c r="G14" s="55" t="s">
        <x:v>82</x:v>
      </x:c>
      <x:c r="H14" s="2"/>
      <x:c r="I14" s="55" t="s">
        <x:v>83</x:v>
      </x:c>
      <x:c r="J14" s="2"/>
      <x:c r="K14" s="2"/>
      <x:c r="L14" s="2"/>
    </x:row>
    <x:row r="15" customFormat="false" ht="15" hidden="false" customHeight="true" outlineLevel="0" collapsed="false">
      <x:c r="A15" s="56" t="s">
        <x:v>71</x:v>
      </x:c>
      <x:c r="B15" s="56"/>
      <x:c r="C15" s="57" t="n">
        <x:f aca="false">COUNTIFS('Trade Log'!$G$4:$G$153,"Yes",'Trade Log'!$T$4:$T$153,"&lt;&gt;",'Trade Log'!$D$4:$D$153,"Spring")</x:f>
        <x:v>1</x:v>
      </x:c>
      <x:c r="D15" s="57"/>
      <x:c r="E15" s="58" t="n">
        <x:f aca="false">IFERROR(AVERAGEIFS('Trade Log'!$T$4:$T$153,'Trade Log'!$G$4:$G$153,"Yes",'Trade Log'!$T$4:$T$153,"&lt;&gt;",'Trade Log'!$D$4:$D$153,"Spring"),0)</x:f>
        <x:v>1.75526279069767</x:v>
      </x:c>
      <x:c r="F15" s="58"/>
      <x:c r="G15" s="59" t="n">
        <x:f aca="false">SUMIFS('Trade Log'!$S$4:$S$153,'Trade Log'!$G$4:$G$153,"Yes",'Trade Log'!$D$4:$D$153,"Spring")</x:f>
        <x:v>875.52508</x:v>
      </x:c>
      <x:c r="H15" s="59"/>
      <x:c r="I15" s="60" t="s">
        <x:v>91</x:v>
      </x:c>
      <x:c r="J15" s="60"/>
      <x:c r="K15" s="60"/>
      <x:c r="L15" s="60"/>
    </x:row>
    <x:row r="16" customFormat="false" ht="15" hidden="false" customHeight="false" outlineLevel="0" collapsed="false">
      <x:c r="A16" s="56" t="s">
        <x:v>92</x:v>
      </x:c>
      <x:c r="B16" s="56"/>
      <x:c r="C16" s="57" t="n">
        <x:f aca="false">COUNTIFS('Trade Log'!$G$4:$G$153,"Yes",'Trade Log'!$T$4:$T$153,"&lt;&gt;",'Trade Log'!$D$4:$D$153,"Upthrust")</x:f>
        <x:v>0</x:v>
      </x:c>
      <x:c r="D16" s="57"/>
      <x:c r="E16" s="58" t="n">
        <x:f aca="false">IFERROR(AVERAGEIFS('Trade Log'!$T$4:$T$153,'Trade Log'!$G$4:$G$153,"Yes",'Trade Log'!$T$4:$T$153,"&lt;&gt;",'Trade Log'!$D$4:$D$153,"Upthrust"),0)</x:f>
        <x:v>0</x:v>
      </x:c>
      <x:c r="F16" s="58"/>
      <x:c r="G16" s="59" t="n">
        <x:f aca="false">SUMIFS('Trade Log'!$S$4:$S$153,'Trade Log'!$G$4:$G$153,"Yes",'Trade Log'!$D$4:$D$153,"Upthrust")</x:f>
        <x:v>0</x:v>
      </x:c>
      <x:c r="H16" s="59"/>
      <x:c r="I16" s="60"/>
      <x:c r="J16" s="60"/>
      <x:c r="K16" s="60"/>
      <x:c r="L16" s="60"/>
    </x:row>
    <x:row r="17" customFormat="false" ht="15" hidden="false" customHeight="false" outlineLevel="0" collapsed="false">
      <x:c r="A17" s="56" t="s">
        <x:v>93</x:v>
      </x:c>
      <x:c r="B17" s="56"/>
      <x:c r="C17" s="57" t="n">
        <x:f aca="false">COUNTIFS('Trade Log'!$G$4:$G$153,"Yes",'Trade Log'!$T$4:$T$153,"&lt;&gt;",'Trade Log'!$D$4:$D$153,"Sweep")</x:f>
        <x:v>0</x:v>
      </x:c>
      <x:c r="D17" s="57"/>
      <x:c r="E17" s="58" t="n">
        <x:f aca="false">IFERROR(AVERAGEIFS('Trade Log'!$T$4:$T$153,'Trade Log'!$G$4:$G$153,"Yes",'Trade Log'!$T$4:$T$153,"&lt;&gt;",'Trade Log'!$D$4:$D$153,"Sweep"),0)</x:f>
        <x:v>0</x:v>
      </x:c>
      <x:c r="F17" s="58"/>
      <x:c r="G17" s="59" t="n">
        <x:f aca="false">SUMIFS('Trade Log'!$S$4:$S$153,'Trade Log'!$G$4:$G$153,"Yes",'Trade Log'!$D$4:$D$153,"Sweep")</x:f>
        <x:v>0</x:v>
      </x:c>
      <x:c r="H17" s="59"/>
      <x:c r="I17" s="60"/>
      <x:c r="J17" s="60"/>
      <x:c r="K17" s="60"/>
      <x:c r="L17" s="60"/>
    </x:row>
    <x:row r="18" customFormat="false" ht="15" hidden="false" customHeight="false" outlineLevel="0" collapsed="false">
      <x:c r="A18" s="56" t="s">
        <x:v>94</x:v>
      </x:c>
      <x:c r="B18" s="56"/>
      <x:c r="C18" s="57" t="n">
        <x:f aca="false">COUNTIFS('Trade Log'!$G$4:$G$153,"Yes",'Trade Log'!$T$4:$T$153,"&lt;&gt;",'Trade Log'!$D$4:$D$153,"Failed retest")</x:f>
        <x:v>0</x:v>
      </x:c>
      <x:c r="D18" s="57"/>
      <x:c r="E18" s="58" t="n">
        <x:f aca="false">IFERROR(AVERAGEIFS('Trade Log'!$T$4:$T$153,'Trade Log'!$G$4:$G$153,"Yes",'Trade Log'!$T$4:$T$153,"&lt;&gt;",'Trade Log'!$D$4:$D$153,"Failed retest"),0)</x:f>
        <x:v>0</x:v>
      </x:c>
      <x:c r="F18" s="58"/>
      <x:c r="G18" s="59" t="n">
        <x:f aca="false">SUMIFS('Trade Log'!$S$4:$S$153,'Trade Log'!$G$4:$G$153,"Yes",'Trade Log'!$D$4:$D$153,"Failed retest")</x:f>
        <x:v>0</x:v>
      </x:c>
      <x:c r="H18" s="59"/>
      <x:c r="I18" s="60"/>
      <x:c r="J18" s="60"/>
      <x:c r="K18" s="60"/>
      <x:c r="L18" s="60"/>
    </x:row>
    <x:row r="19" customFormat="false" ht="15" hidden="false" customHeight="false" outlineLevel="0" collapsed="false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customFormat="false" ht="15" hidden="false" customHeight="false" outlineLevel="0" collapsed="false">
      <x:c r="A20" s="3" t="s">
        <x:v>95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customFormat="false" ht="15" hidden="false" customHeight="true" outlineLevel="0" collapsed="false">
      <x:c r="A21" s="54" t="s">
        <x:v>96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 customFormat="false" ht="15" hidden="false" customHeight="false" outlineLevel="0" collapsed="false">
      <x:c r="A22" s="55"/>
      <x:c r="B22" s="2"/>
      <x:c r="C22" s="55" t="s">
        <x:v>80</x:v>
      </x:c>
      <x:c r="D22" s="2"/>
      <x:c r="E22" s="55" t="s">
        <x:v>81</x:v>
      </x:c>
      <x:c r="F22" s="2"/>
      <x:c r="G22" s="55" t="s">
        <x:v>82</x:v>
      </x:c>
      <x:c r="H22" s="2"/>
      <x:c r="I22" s="55" t="s">
        <x:v>83</x:v>
      </x:c>
      <x:c r="J22" s="2"/>
      <x:c r="K22" s="2"/>
      <x:c r="L22" s="2"/>
    </x:row>
    <x:row r="23" customFormat="false" ht="15" hidden="false" customHeight="true" outlineLevel="0" collapsed="false">
      <x:c r="A23" s="56" t="s">
        <x:v>97</x:v>
      </x:c>
      <x:c r="B23" s="56"/>
      <x:c r="C23" s="57" t="n">
        <x:f aca="false">COUNTIFS('Trade Log'!$G$4:$G$153,"Yes",'Trade Log'!$T$4:$T$153,"&lt;&gt;",'Trade Log'!$V$4:$V$153,"&gt;=3",'Trade Log'!$V$4:$V$153,"&lt;7")</x:f>
        <x:v>0</x:v>
      </x:c>
      <x:c r="D23" s="57"/>
      <x:c r="E23" s="58" t="n">
        <x:f aca="false">IFERROR(AVERAGEIFS('Trade Log'!$T$4:$T$153,'Trade Log'!$G$4:$G$153,"Yes",'Trade Log'!$T$4:$T$153,"&lt;&gt;",'Trade Log'!$V$4:$V$153,"&gt;=3",'Trade Log'!$V$4:$V$153,"&lt;7"),0)</x:f>
        <x:v>0</x:v>
      </x:c>
      <x:c r="F23" s="58"/>
      <x:c r="G23" s="59" t="n">
        <x:f aca="false">SUMIFS('Trade Log'!$S$4:$S$153,'Trade Log'!$G$4:$G$153,"Yes",'Trade Log'!$V$4:$V$153,"&gt;=3",'Trade Log'!$V$4:$V$153,"&lt;7")</x:f>
        <x:v>0</x:v>
      </x:c>
      <x:c r="H23" s="59"/>
      <x:c r="I23" s="60" t="s">
        <x:v>98</x:v>
      </x:c>
      <x:c r="J23" s="60"/>
      <x:c r="K23" s="60"/>
      <x:c r="L23" s="60"/>
    </x:row>
    <x:row r="24" customFormat="false" ht="15" hidden="false" customHeight="false" outlineLevel="0" collapsed="false">
      <x:c r="A24" s="56" t="s">
        <x:v>99</x:v>
      </x:c>
      <x:c r="B24" s="56"/>
      <x:c r="C24" s="57" t="n">
        <x:f aca="false">COUNTIFS('Trade Log'!$G$4:$G$153,"Yes",'Trade Log'!$T$4:$T$153,"&lt;&gt;",'Trade Log'!$V$4:$V$153,"&gt;=7")</x:f>
        <x:v>1</x:v>
      </x:c>
      <x:c r="D24" s="57"/>
      <x:c r="E24" s="58" t="n">
        <x:f aca="false">IFERROR(AVERAGEIFS('Trade Log'!$T$4:$T$153,'Trade Log'!$G$4:$G$153,"Yes",'Trade Log'!$T$4:$T$153,"&lt;&gt;",'Trade Log'!$V$4:$V$153,"&gt;=7"),0)</x:f>
        <x:v>1.75526279069767</x:v>
      </x:c>
      <x:c r="F24" s="58"/>
      <x:c r="G24" s="59" t="n">
        <x:f aca="false">SUMIFS('Trade Log'!$S$4:$S$153,'Trade Log'!$G$4:$G$153,"Yes",'Trade Log'!$V$4:$V$153,"&gt;=7")</x:f>
        <x:v>875.52508</x:v>
      </x:c>
      <x:c r="H24" s="59"/>
      <x:c r="I24" s="60"/>
      <x:c r="J24" s="60"/>
      <x:c r="K24" s="60"/>
      <x:c r="L24" s="60"/>
    </x:row>
    <x:row r="25" customFormat="false" ht="15" hidden="false" customHeight="false" outlineLevel="0" collapsed="false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customFormat="false" ht="15" hidden="false" customHeight="false" outlineLevel="0" collapsed="false">
      <x:c r="A26" s="3" t="s">
        <x:v>100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customFormat="false" ht="15" hidden="false" customHeight="true" outlineLevel="0" collapsed="false">
      <x:c r="A27" s="54" t="s">
        <x:v>101</x:v>
      </x:c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</x:row>
    <x:row r="28" customFormat="false" ht="15" hidden="false" customHeight="false" outlineLevel="0" collapsed="false">
      <x:c r="A28" s="55"/>
      <x:c r="B28" s="2"/>
      <x:c r="C28" s="55" t="s">
        <x:v>80</x:v>
      </x:c>
      <x:c r="D28" s="2"/>
      <x:c r="E28" s="55" t="s">
        <x:v>81</x:v>
      </x:c>
      <x:c r="F28" s="2"/>
      <x:c r="G28" s="55" t="s">
        <x:v>82</x:v>
      </x:c>
      <x:c r="H28" s="2"/>
      <x:c r="I28" s="55" t="s">
        <x:v>83</x:v>
      </x:c>
      <x:c r="J28" s="2"/>
      <x:c r="K28" s="2"/>
      <x:c r="L28" s="2"/>
    </x:row>
    <x:row r="29" customFormat="false" ht="15" hidden="false" customHeight="false" outlineLevel="0" collapsed="false">
      <x:c r="A29" s="56" t="s">
        <x:v>102</x:v>
      </x:c>
      <x:c r="B29" s="56"/>
      <x:c r="C29" s="57" t="n">
        <x:f aca="false">COUNTIFS('Trade Log'!$G$4:$G$153,"Yes",'Trade Log'!$T$4:$T$153,"&lt;&gt;",'Trade Log'!$N$4:$N$153,"&gt;=0",'Trade Log'!$N$4:$N$153,"&lt;0.25")</x:f>
        <x:v>0</x:v>
      </x:c>
      <x:c r="D29" s="57"/>
      <x:c r="E29" s="58" t="n">
        <x:f aca="false">IFERROR(AVERAGEIFS('Trade Log'!$T$4:$T$153,'Trade Log'!$G$4:$G$153,"Yes",'Trade Log'!$T$4:$T$153,"&lt;&gt;",'Trade Log'!$N$4:$N$153,"&gt;=0",'Trade Log'!$N$4:$N$153,"&lt;0.25"),0)</x:f>
        <x:v>0</x:v>
      </x:c>
      <x:c r="F29" s="58"/>
      <x:c r="G29" s="59" t="n">
        <x:f aca="false">SUMIFS('Trade Log'!$S$4:$S$153,'Trade Log'!$G$4:$G$153,"Yes",'Trade Log'!$N$4:$N$153,"&gt;=0",'Trade Log'!$N$4:$N$153,"&lt;0.25")</x:f>
        <x:v>0</x:v>
      </x:c>
      <x:c r="H29" s="59"/>
      <x:c r="I29" s="60"/>
      <x:c r="J29" s="60"/>
      <x:c r="K29" s="60"/>
      <x:c r="L29" s="60"/>
    </x:row>
    <x:row r="30" customFormat="false" ht="15" hidden="false" customHeight="false" outlineLevel="0" collapsed="false">
      <x:c r="A30" s="56" t="s">
        <x:v>103</x:v>
      </x:c>
      <x:c r="B30" s="56"/>
      <x:c r="C30" s="57" t="n">
        <x:f aca="false">COUNTIFS('Trade Log'!$G$4:$G$153,"Yes",'Trade Log'!$T$4:$T$153,"&lt;&gt;",'Trade Log'!$N$4:$N$153,"&gt;=0.25",'Trade Log'!$N$4:$N$153,"&lt;0.6")</x:f>
        <x:v>1</x:v>
      </x:c>
      <x:c r="D30" s="57"/>
      <x:c r="E30" s="58" t="n">
        <x:f aca="false">IFERROR(AVERAGEIFS('Trade Log'!$T$4:$T$153,'Trade Log'!$G$4:$G$153,"Yes",'Trade Log'!$T$4:$T$153,"&lt;&gt;",'Trade Log'!$N$4:$N$153,"&gt;=0.25",'Trade Log'!$N$4:$N$153,"&lt;0.6"),0)</x:f>
        <x:v>1.75526279069767</x:v>
      </x:c>
      <x:c r="F30" s="58"/>
      <x:c r="G30" s="59" t="n">
        <x:f aca="false">SUMIFS('Trade Log'!$S$4:$S$153,'Trade Log'!$G$4:$G$153,"Yes",'Trade Log'!$N$4:$N$153,"&gt;=0.25",'Trade Log'!$N$4:$N$153,"&lt;0.6")</x:f>
        <x:v>875.52508</x:v>
      </x:c>
      <x:c r="H30" s="59"/>
      <x:c r="I30" s="60"/>
      <x:c r="J30" s="60"/>
      <x:c r="K30" s="60"/>
      <x:c r="L30" s="60"/>
    </x:row>
    <x:row r="31" customFormat="false" ht="15" hidden="false" customHeight="false" outlineLevel="0" collapsed="false">
      <x:c r="A31" s="56" t="s">
        <x:v>104</x:v>
      </x:c>
      <x:c r="B31" s="56"/>
      <x:c r="C31" s="57" t="n">
        <x:f aca="false">COUNTIFS('Trade Log'!$G$4:$G$153,"Yes",'Trade Log'!$T$4:$T$153,"&lt;&gt;",'Trade Log'!$N$4:$N$153,"&gt;=0.6",'Trade Log'!$N$4:$N$153,"&lt;1.0")</x:f>
        <x:v>0</x:v>
      </x:c>
      <x:c r="D31" s="57"/>
      <x:c r="E31" s="58" t="n">
        <x:f aca="false">IFERROR(AVERAGEIFS('Trade Log'!$T$4:$T$153,'Trade Log'!$G$4:$G$153,"Yes",'Trade Log'!$T$4:$T$153,"&lt;&gt;",'Trade Log'!$N$4:$N$153,"&gt;=0.6",'Trade Log'!$N$4:$N$153,"&lt;1.0"),0)</x:f>
        <x:v>0</x:v>
      </x:c>
      <x:c r="F31" s="58"/>
      <x:c r="G31" s="59" t="n">
        <x:f aca="false">SUMIFS('Trade Log'!$S$4:$S$153,'Trade Log'!$G$4:$G$153,"Yes",'Trade Log'!$N$4:$N$153,"&gt;=0.6",'Trade Log'!$N$4:$N$153,"&lt;1.0")</x:f>
        <x:v>0</x:v>
      </x:c>
      <x:c r="H31" s="59"/>
      <x:c r="I31" s="60"/>
      <x:c r="J31" s="60"/>
      <x:c r="K31" s="60"/>
      <x:c r="L31" s="60"/>
    </x:row>
    <x:row r="32" customFormat="false" ht="15" hidden="false" customHeight="false" outlineLevel="0" collapsed="false">
      <x:c r="A32" s="56" t="s">
        <x:v>105</x:v>
      </x:c>
      <x:c r="B32" s="56"/>
      <x:c r="C32" s="57" t="n">
        <x:f aca="false">COUNTIFS('Trade Log'!$G$4:$G$153,"Yes",'Trade Log'!$T$4:$T$153,"&lt;&gt;",'Trade Log'!$N$4:$N$153,"&gt;=1.0",'Trade Log'!$N$4:$N$153,"&lt;99")</x:f>
        <x:v>0</x:v>
      </x:c>
      <x:c r="D32" s="57"/>
      <x:c r="E32" s="58" t="n">
        <x:f aca="false">IFERROR(AVERAGEIFS('Trade Log'!$T$4:$T$153,'Trade Log'!$G$4:$G$153,"Yes",'Trade Log'!$T$4:$T$153,"&lt;&gt;",'Trade Log'!$N$4:$N$153,"&gt;=1.0",'Trade Log'!$N$4:$N$153,"&lt;99"),0)</x:f>
        <x:v>0</x:v>
      </x:c>
      <x:c r="F32" s="58"/>
      <x:c r="G32" s="59" t="n">
        <x:f aca="false">SUMIFS('Trade Log'!$S$4:$S$153,'Trade Log'!$G$4:$G$153,"Yes",'Trade Log'!$N$4:$N$153,"&gt;=1.0",'Trade Log'!$N$4:$N$153,"&lt;99")</x:f>
        <x:v>0</x:v>
      </x:c>
      <x:c r="H32" s="59"/>
      <x:c r="I32" s="60"/>
      <x:c r="J32" s="60"/>
      <x:c r="K32" s="60"/>
      <x:c r="L32" s="60"/>
    </x:row>
    <x:row r="33" customFormat="false" ht="15" hidden="false" customHeight="false" outlineLevel="0" collapsed="false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customFormat="false" ht="15" hidden="false" customHeight="false" outlineLevel="0" collapsed="false">
      <x:c r="A34" s="3" t="s">
        <x:v>106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customFormat="false" ht="15" hidden="false" customHeight="true" outlineLevel="0" collapsed="false">
      <x:c r="A35" s="54" t="s">
        <x:v>107</x:v>
      </x:c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</x:row>
    <x:row r="36" customFormat="false" ht="15" hidden="false" customHeight="false" outlineLevel="0" collapsed="false">
      <x:c r="A36" s="55"/>
      <x:c r="B36" s="2"/>
      <x:c r="C36" s="55" t="s">
        <x:v>80</x:v>
      </x:c>
      <x:c r="D36" s="2"/>
      <x:c r="E36" s="55" t="s">
        <x:v>81</x:v>
      </x:c>
      <x:c r="F36" s="2"/>
      <x:c r="G36" s="55" t="s">
        <x:v>82</x:v>
      </x:c>
      <x:c r="H36" s="2"/>
      <x:c r="I36" s="55" t="s">
        <x:v>83</x:v>
      </x:c>
      <x:c r="J36" s="2"/>
      <x:c r="K36" s="2"/>
      <x:c r="L36" s="2"/>
    </x:row>
    <x:row r="37" customFormat="false" ht="15" hidden="false" customHeight="false" outlineLevel="0" collapsed="false">
      <x:c r="A37" s="56" t="s">
        <x:v>108</x:v>
      </x:c>
      <x:c r="B37" s="56"/>
      <x:c r="C37" s="57" t="n">
        <x:f aca="false">COUNTIFS('Trade Log'!$G$4:$G$153,"Yes",'Trade Log'!$T$4:$T$153,"&lt;&gt;",'Trade Log'!$O$4:$O$153,"&gt;=1",'Trade Log'!$O$4:$O$153,"&lt;3")</x:f>
        <x:v>1</x:v>
      </x:c>
      <x:c r="D37" s="57"/>
      <x:c r="E37" s="58" t="n">
        <x:f aca="false">IFERROR(AVERAGEIFS('Trade Log'!$T$4:$T$153,'Trade Log'!$G$4:$G$153,"Yes",'Trade Log'!$T$4:$T$153,"&lt;&gt;",'Trade Log'!$O$4:$O$153,"&gt;=1",'Trade Log'!$O$4:$O$153,"&lt;3"),0)</x:f>
        <x:v>1.75526279069767</x:v>
      </x:c>
      <x:c r="F37" s="58"/>
      <x:c r="G37" s="59" t="n">
        <x:f aca="false">SUMIFS('Trade Log'!$S$4:$S$153,'Trade Log'!$G$4:$G$153,"Yes",'Trade Log'!$O$4:$O$153,"&gt;=1",'Trade Log'!$O$4:$O$153,"&lt;3")</x:f>
        <x:v>875.52508</x:v>
      </x:c>
      <x:c r="H37" s="59"/>
      <x:c r="I37" s="60"/>
      <x:c r="J37" s="60"/>
      <x:c r="K37" s="60"/>
      <x:c r="L37" s="60"/>
    </x:row>
    <x:row r="38" customFormat="false" ht="15" hidden="false" customHeight="false" outlineLevel="0" collapsed="false">
      <x:c r="A38" s="56" t="s">
        <x:v>109</x:v>
      </x:c>
      <x:c r="B38" s="56"/>
      <x:c r="C38" s="57" t="n">
        <x:f aca="false">COUNTIFS('Trade Log'!$G$4:$G$153,"Yes",'Trade Log'!$T$4:$T$153,"&lt;&gt;",'Trade Log'!$O$4:$O$153,"&gt;=3",'Trade Log'!$O$4:$O$153,"&lt;5")</x:f>
        <x:v>0</x:v>
      </x:c>
      <x:c r="D38" s="57"/>
      <x:c r="E38" s="58" t="n">
        <x:f aca="false">IFERROR(AVERAGEIFS('Trade Log'!$T$4:$T$153,'Trade Log'!$G$4:$G$153,"Yes",'Trade Log'!$T$4:$T$153,"&lt;&gt;",'Trade Log'!$O$4:$O$153,"&gt;=3",'Trade Log'!$O$4:$O$153,"&lt;5"),0)</x:f>
        <x:v>0</x:v>
      </x:c>
      <x:c r="F38" s="58"/>
      <x:c r="G38" s="59" t="n">
        <x:f aca="false">SUMIFS('Trade Log'!$S$4:$S$153,'Trade Log'!$G$4:$G$153,"Yes",'Trade Log'!$O$4:$O$153,"&gt;=3",'Trade Log'!$O$4:$O$153,"&lt;5")</x:f>
        <x:v>0</x:v>
      </x:c>
      <x:c r="H38" s="59"/>
      <x:c r="I38" s="60"/>
      <x:c r="J38" s="60"/>
      <x:c r="K38" s="60"/>
      <x:c r="L38" s="60"/>
    </x:row>
    <x:row r="39" customFormat="false" ht="15" hidden="false" customHeight="false" outlineLevel="0" collapsed="false">
      <x:c r="A39" s="56" t="s">
        <x:v>110</x:v>
      </x:c>
      <x:c r="B39" s="56"/>
      <x:c r="C39" s="57" t="n">
        <x:f aca="false">COUNTIFS('Trade Log'!$G$4:$G$153,"Yes",'Trade Log'!$T$4:$T$153,"&lt;&gt;",'Trade Log'!$O$4:$O$153,"&gt;=5",'Trade Log'!$O$4:$O$153,"&lt;99")</x:f>
        <x:v>0</x:v>
      </x:c>
      <x:c r="D39" s="57"/>
      <x:c r="E39" s="58" t="n">
        <x:f aca="false">IFERROR(AVERAGEIFS('Trade Log'!$T$4:$T$153,'Trade Log'!$G$4:$G$153,"Yes",'Trade Log'!$T$4:$T$153,"&lt;&gt;",'Trade Log'!$O$4:$O$153,"&gt;=5",'Trade Log'!$O$4:$O$153,"&lt;99"),0)</x:f>
        <x:v>0</x:v>
      </x:c>
      <x:c r="F39" s="58"/>
      <x:c r="G39" s="59" t="n">
        <x:f aca="false">SUMIFS('Trade Log'!$S$4:$S$153,'Trade Log'!$G$4:$G$153,"Yes",'Trade Log'!$O$4:$O$153,"&gt;=5",'Trade Log'!$O$4:$O$153,"&lt;99")</x:f>
        <x:v>0</x:v>
      </x:c>
      <x:c r="H39" s="59"/>
      <x:c r="I39" s="60"/>
      <x:c r="J39" s="60"/>
      <x:c r="K39" s="60"/>
      <x:c r="L39" s="60"/>
    </x:row>
    <x:row r="40" customFormat="false" ht="15" hidden="false" customHeight="false" outlineLevel="0" collapsed="false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customFormat="false" ht="15" hidden="false" customHeight="false" outlineLevel="0" collapsed="false">
      <x:c r="A41" s="3" t="s">
        <x:v>111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customFormat="false" ht="15" hidden="false" customHeight="true" outlineLevel="0" collapsed="false">
      <x:c r="A42" s="54" t="s">
        <x:v>112</x:v>
      </x:c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</x:row>
    <x:row r="43" customFormat="false" ht="15" hidden="false" customHeight="false" outlineLevel="0" collapsed="false">
      <x:c r="A43" s="55"/>
      <x:c r="B43" s="2"/>
      <x:c r="C43" s="55" t="s">
        <x:v>80</x:v>
      </x:c>
      <x:c r="D43" s="2"/>
      <x:c r="E43" s="55" t="s">
        <x:v>81</x:v>
      </x:c>
      <x:c r="F43" s="2"/>
      <x:c r="G43" s="55" t="s">
        <x:v>82</x:v>
      </x:c>
      <x:c r="H43" s="2"/>
      <x:c r="I43" s="55" t="s">
        <x:v>83</x:v>
      </x:c>
      <x:c r="J43" s="2"/>
      <x:c r="K43" s="2"/>
      <x:c r="L43" s="2"/>
    </x:row>
    <x:row r="44" customFormat="false" ht="15" hidden="false" customHeight="false" outlineLevel="0" collapsed="false">
      <x:c r="A44" s="56" t="s">
        <x:v>113</x:v>
      </x:c>
      <x:c r="B44" s="56"/>
      <x:c r="C44" s="57" t="n">
        <x:f aca="false">COUNTIFS('Trade Log'!$G$4:$G$153,"Yes",'Trade Log'!$T$4:$T$153,"&lt;&gt;",'Trade Log'!$P$4:$P$153,"Yes")</x:f>
        <x:v>1</x:v>
      </x:c>
      <x:c r="D44" s="57"/>
      <x:c r="E44" s="58" t="n">
        <x:f aca="false">IFERROR(AVERAGEIFS('Trade Log'!$T$4:$T$153,'Trade Log'!$G$4:$G$153,"Yes",'Trade Log'!$T$4:$T$153,"&lt;&gt;",'Trade Log'!$P$4:$P$153,"Yes"),0)</x:f>
        <x:v>1.75526279069767</x:v>
      </x:c>
      <x:c r="F44" s="58"/>
      <x:c r="G44" s="59" t="n">
        <x:f aca="false">SUMIFS('Trade Log'!$S$4:$S$153,'Trade Log'!$G$4:$G$153,"Yes",'Trade Log'!$P$4:$P$153,"Yes")</x:f>
        <x:v>875.52508</x:v>
      </x:c>
      <x:c r="H44" s="59"/>
      <x:c r="I44" s="60"/>
      <x:c r="J44" s="60"/>
      <x:c r="K44" s="60"/>
      <x:c r="L44" s="60"/>
    </x:row>
    <x:row r="45" customFormat="false" ht="15" hidden="false" customHeight="false" outlineLevel="0" collapsed="false">
      <x:c r="A45" s="56" t="s">
        <x:v>114</x:v>
      </x:c>
      <x:c r="B45" s="56"/>
      <x:c r="C45" s="57" t="n">
        <x:f aca="false">COUNTIFS('Trade Log'!$G$4:$G$153,"Yes",'Trade Log'!$T$4:$T$153,"&lt;&gt;",'Trade Log'!$P$4:$P$153,"No")</x:f>
        <x:v>0</x:v>
      </x:c>
      <x:c r="D45" s="57"/>
      <x:c r="E45" s="58" t="n">
        <x:f aca="false">IFERROR(AVERAGEIFS('Trade Log'!$T$4:$T$153,'Trade Log'!$G$4:$G$153,"Yes",'Trade Log'!$T$4:$T$153,"&lt;&gt;",'Trade Log'!$P$4:$P$153,"No"),0)</x:f>
        <x:v>0</x:v>
      </x:c>
      <x:c r="F45" s="58"/>
      <x:c r="G45" s="59" t="n">
        <x:f aca="false">SUMIFS('Trade Log'!$S$4:$S$153,'Trade Log'!$G$4:$G$153,"Yes",'Trade Log'!$P$4:$P$153,"No")</x:f>
        <x:v>0</x:v>
      </x:c>
      <x:c r="H45" s="59"/>
      <x:c r="I45" s="60"/>
      <x:c r="J45" s="60"/>
      <x:c r="K45" s="60"/>
      <x:c r="L45" s="60"/>
    </x:row>
    <x:row r="46" customFormat="false" ht="15" hidden="false" customHeight="false" outlineLevel="0" collapsed="false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customFormat="false" ht="15" hidden="false" customHeight="false" outlineLevel="0" collapsed="false">
      <x:c r="A47" s="3" t="s">
        <x:v>115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customFormat="false" ht="15" hidden="false" customHeight="true" outlineLevel="0" collapsed="false">
      <x:c r="A48" s="54" t="s">
        <x:v>116</x:v>
      </x:c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</x:row>
    <x:row r="49" customFormat="false" ht="15" hidden="false" customHeight="false" outlineLevel="0" collapsed="false">
      <x:c r="A49" s="55"/>
      <x:c r="B49" s="2"/>
      <x:c r="C49" s="55" t="s">
        <x:v>80</x:v>
      </x:c>
      <x:c r="D49" s="2"/>
      <x:c r="E49" s="55" t="s">
        <x:v>81</x:v>
      </x:c>
      <x:c r="F49" s="2"/>
      <x:c r="G49" s="55" t="s">
        <x:v>82</x:v>
      </x:c>
      <x:c r="H49" s="2"/>
      <x:c r="I49" s="55" t="s">
        <x:v>83</x:v>
      </x:c>
      <x:c r="J49" s="2"/>
      <x:c r="K49" s="2"/>
      <x:c r="L49" s="2"/>
    </x:row>
    <x:row r="50" customFormat="false" ht="15" hidden="false" customHeight="false" outlineLevel="0" collapsed="false">
      <x:c r="A50" s="56" t="s">
        <x:v>117</x:v>
      </x:c>
      <x:c r="B50" s="56"/>
      <x:c r="C50" s="57" t="n">
        <x:f aca="false">COUNTIFS('Trade Log'!$G$4:$G$153,"Yes",'Trade Log'!$T$4:$T$153,"&lt;&gt;",'Trade Log'!$M$4:$M$153,"Yes")</x:f>
        <x:v>1</x:v>
      </x:c>
      <x:c r="D50" s="57"/>
      <x:c r="E50" s="58" t="n">
        <x:f aca="false">IFERROR(AVERAGEIFS('Trade Log'!$T$4:$T$153,'Trade Log'!$G$4:$G$153,"Yes",'Trade Log'!$T$4:$T$153,"&lt;&gt;",'Trade Log'!$M$4:$M$153,"Yes"),0)</x:f>
        <x:v>1.75526279069767</x:v>
      </x:c>
      <x:c r="F50" s="58"/>
      <x:c r="G50" s="59" t="n">
        <x:f aca="false">SUMIFS('Trade Log'!$S$4:$S$153,'Trade Log'!$G$4:$G$153,"Yes",'Trade Log'!$M$4:$M$153,"Yes")</x:f>
        <x:v>875.52508</x:v>
      </x:c>
      <x:c r="H50" s="59"/>
      <x:c r="I50" s="60"/>
      <x:c r="J50" s="60"/>
      <x:c r="K50" s="60"/>
      <x:c r="L50" s="60"/>
    </x:row>
    <x:row r="51" customFormat="false" ht="15" hidden="false" customHeight="false" outlineLevel="0" collapsed="false">
      <x:c r="A51" s="56" t="s">
        <x:v>118</x:v>
      </x:c>
      <x:c r="B51" s="56"/>
      <x:c r="C51" s="57" t="n">
        <x:f aca="false">COUNTIFS('Trade Log'!$G$4:$G$153,"Yes",'Trade Log'!$T$4:$T$153,"&lt;&gt;",'Trade Log'!$M$4:$M$153,"No")</x:f>
        <x:v>0</x:v>
      </x:c>
      <x:c r="D51" s="57"/>
      <x:c r="E51" s="58" t="n">
        <x:f aca="false">IFERROR(AVERAGEIFS('Trade Log'!$T$4:$T$153,'Trade Log'!$G$4:$G$153,"Yes",'Trade Log'!$T$4:$T$153,"&lt;&gt;",'Trade Log'!$M$4:$M$153,"No"),0)</x:f>
        <x:v>0</x:v>
      </x:c>
      <x:c r="F51" s="58"/>
      <x:c r="G51" s="59" t="n">
        <x:f aca="false">SUMIFS('Trade Log'!$S$4:$S$153,'Trade Log'!$G$4:$G$153,"Yes",'Trade Log'!$M$4:$M$153,"No")</x:f>
        <x:v>0</x:v>
      </x:c>
      <x:c r="H51" s="59"/>
      <x:c r="I51" s="60"/>
      <x:c r="J51" s="60"/>
      <x:c r="K51" s="60"/>
      <x:c r="L51" s="60"/>
    </x:row>
    <x:row r="52" customFormat="false" ht="15" hidden="false" customHeight="false" outlineLevel="0" collapsed="false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customFormat="false" ht="15" hidden="false" customHeight="false" outlineLevel="0" collapsed="false">
      <x:c r="A53" s="3" t="s">
        <x:v>119</x:v>
      </x:c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customFormat="false" ht="19.4" hidden="false" customHeight="true" outlineLevel="0" collapsed="false">
      <x:c r="A54" s="54" t="s">
        <x:v>120</x:v>
      </x:c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</x:row>
    <x:row r="55" customFormat="false" ht="15" hidden="false" customHeight="false" outlineLevel="0" collapsed="false">
      <x:c r="A55" s="55"/>
      <x:c r="B55" s="2"/>
      <x:c r="C55" s="55" t="s">
        <x:v>80</x:v>
      </x:c>
      <x:c r="D55" s="2"/>
      <x:c r="E55" s="55" t="s">
        <x:v>81</x:v>
      </x:c>
      <x:c r="F55" s="2"/>
      <x:c r="G55" s="55" t="s">
        <x:v>82</x:v>
      </x:c>
      <x:c r="H55" s="2"/>
      <x:c r="I55" s="55" t="s">
        <x:v>83</x:v>
      </x:c>
      <x:c r="J55" s="2"/>
      <x:c r="K55" s="2"/>
      <x:c r="L55" s="2"/>
    </x:row>
    <x:row r="56" customFormat="false" ht="15" hidden="false" customHeight="true" outlineLevel="0" collapsed="false">
      <x:c r="A56" s="56" t="s">
        <x:v>121</x:v>
      </x:c>
      <x:c r="B56" s="56"/>
      <x:c r="C56" s="57" t="n">
        <x:f aca="false">COUNTIFS('Trade Log'!$G$4:$G$153,"Yes",'Trade Log'!$T$4:$T$153,"&lt;&gt;",'Trade Log'!$L$4:$L$153,"&gt;=1",'Trade Log'!$L$4:$L$153,"&lt;3")</x:f>
        <x:v>0</x:v>
      </x:c>
      <x:c r="D56" s="57"/>
      <x:c r="E56" s="58" t="n">
        <x:f aca="false">IFERROR(AVERAGEIFS('Trade Log'!$T$4:$T$153,'Trade Log'!$G$4:$G$153,"Yes",'Trade Log'!$T$4:$T$153,"&lt;&gt;",'Trade Log'!$L$4:$L$153,"&gt;=1",'Trade Log'!$L$4:$L$153,"&lt;3"),0)</x:f>
        <x:v>0</x:v>
      </x:c>
      <x:c r="F56" s="58"/>
      <x:c r="G56" s="59" t="n">
        <x:f aca="false">SUMIFS('Trade Log'!$S$4:$S$153,'Trade Log'!$G$4:$G$153,"Yes",'Trade Log'!$L$4:$L$153,"&gt;=1",'Trade Log'!$L$4:$L$153,"&lt;3")</x:f>
        <x:v>0</x:v>
      </x:c>
      <x:c r="H56" s="59"/>
      <x:c r="I56" s="60" t="s">
        <x:v>122</x:v>
      </x:c>
      <x:c r="J56" s="60"/>
      <x:c r="K56" s="60"/>
      <x:c r="L56" s="60"/>
    </x:row>
    <x:row r="57" customFormat="false" ht="15" hidden="false" customHeight="false" outlineLevel="0" collapsed="false">
      <x:c r="A57" s="56" t="s">
        <x:v>123</x:v>
      </x:c>
      <x:c r="B57" s="56"/>
      <x:c r="C57" s="57" t="n">
        <x:f aca="false">COUNTIFS('Trade Log'!$G$4:$G$153,"Yes",'Trade Log'!$T$4:$T$153,"&lt;&gt;",'Trade Log'!$L$4:$L$153,"&gt;=3",'Trade Log'!$L$4:$L$153,"&lt;6")</x:f>
        <x:v>1</x:v>
      </x:c>
      <x:c r="D57" s="57"/>
      <x:c r="E57" s="58" t="n">
        <x:f aca="false">IFERROR(AVERAGEIFS('Trade Log'!$T$4:$T$153,'Trade Log'!$G$4:$G$153,"Yes",'Trade Log'!$T$4:$T$153,"&lt;&gt;",'Trade Log'!$L$4:$L$153,"&gt;=3",'Trade Log'!$L$4:$L$153,"&lt;6"),0)</x:f>
        <x:v>1.75526279069767</x:v>
      </x:c>
      <x:c r="F57" s="58"/>
      <x:c r="G57" s="59" t="n">
        <x:f aca="false">SUMIFS('Trade Log'!$S$4:$S$153,'Trade Log'!$G$4:$G$153,"Yes",'Trade Log'!$L$4:$L$153,"&gt;=3",'Trade Log'!$L$4:$L$153,"&lt;6")</x:f>
        <x:v>875.52508</x:v>
      </x:c>
      <x:c r="H57" s="59"/>
      <x:c r="I57" s="60"/>
      <x:c r="J57" s="60"/>
      <x:c r="K57" s="60"/>
      <x:c r="L57" s="60"/>
    </x:row>
    <x:row r="58" customFormat="false" ht="15" hidden="false" customHeight="false" outlineLevel="0" collapsed="false">
      <x:c r="A58" s="56" t="s">
        <x:v>124</x:v>
      </x:c>
      <x:c r="B58" s="56"/>
      <x:c r="C58" s="57" t="n">
        <x:f aca="false">COUNTIFS('Trade Log'!$G$4:$G$153,"Yes",'Trade Log'!$T$4:$T$153,"&lt;&gt;",'Trade Log'!$L$4:$L$153,"&gt;=6",'Trade Log'!$L$4:$L$153,"&lt;11")</x:f>
        <x:v>0</x:v>
      </x:c>
      <x:c r="D58" s="57"/>
      <x:c r="E58" s="58" t="n">
        <x:f aca="false">IFERROR(AVERAGEIFS('Trade Log'!$T$4:$T$153,'Trade Log'!$G$4:$G$153,"Yes",'Trade Log'!$T$4:$T$153,"&lt;&gt;",'Trade Log'!$L$4:$L$153,"&gt;=6",'Trade Log'!$L$4:$L$153,"&lt;11"),0)</x:f>
        <x:v>0</x:v>
      </x:c>
      <x:c r="F58" s="58"/>
      <x:c r="G58" s="59" t="n">
        <x:f aca="false">SUMIFS('Trade Log'!$S$4:$S$153,'Trade Log'!$G$4:$G$153,"Yes",'Trade Log'!$L$4:$L$153,"&gt;=6",'Trade Log'!$L$4:$L$153,"&lt;11")</x:f>
        <x:v>0</x:v>
      </x:c>
      <x:c r="H58" s="59"/>
      <x:c r="I58" s="60"/>
      <x:c r="J58" s="60"/>
      <x:c r="K58" s="60"/>
      <x:c r="L58" s="60"/>
    </x:row>
    <x:row r="59" customFormat="false" ht="15" hidden="false" customHeight="false" outlineLevel="0" collapsed="false">
      <x:c r="A59" s="56" t="s">
        <x:v>125</x:v>
      </x:c>
      <x:c r="B59" s="56"/>
      <x:c r="C59" s="57" t="n">
        <x:f aca="false">COUNTIFS('Trade Log'!$G$4:$G$153,"Yes",'Trade Log'!$T$4:$T$153,"&lt;&gt;",'Trade Log'!$L$4:$L$153,"&gt;=11",'Trade Log'!$L$4:$L$153,"&lt;999")</x:f>
        <x:v>0</x:v>
      </x:c>
      <x:c r="D59" s="57"/>
      <x:c r="E59" s="58" t="n">
        <x:f aca="false">IFERROR(AVERAGEIFS('Trade Log'!$T$4:$T$153,'Trade Log'!$G$4:$G$153,"Yes",'Trade Log'!$T$4:$T$153,"&lt;&gt;",'Trade Log'!$L$4:$L$153,"&gt;=11",'Trade Log'!$L$4:$L$153,"&lt;999"),0)</x:f>
        <x:v>0</x:v>
      </x:c>
      <x:c r="F59" s="58"/>
      <x:c r="G59" s="59" t="n">
        <x:f aca="false">SUMIFS('Trade Log'!$S$4:$S$153,'Trade Log'!$G$4:$G$153,"Yes",'Trade Log'!$L$4:$L$153,"&gt;=11",'Trade Log'!$L$4:$L$153,"&lt;999")</x:f>
        <x:v>0</x:v>
      </x:c>
      <x:c r="H59" s="59"/>
      <x:c r="I59" s="60"/>
      <x:c r="J59" s="60"/>
      <x:c r="K59" s="60"/>
      <x:c r="L59" s="60"/>
    </x:row>
    <x:row r="60" customFormat="false" ht="15" hidden="false" customHeight="false" outlineLevel="0" collapsed="false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customFormat="false" ht="15" hidden="false" customHeight="false" outlineLevel="0" collapsed="false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customFormat="false" ht="15" hidden="false" customHeight="false" outlineLevel="0" collapsed="false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customFormat="false" ht="15" hidden="false" customHeight="false" outlineLevel="0" collapsed="false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customFormat="false" ht="15" hidden="false" customHeight="false" outlineLevel="0" collapsed="false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customFormat="false" ht="15" hidden="false" customHeight="false" outlineLevel="0" collapsed="false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customFormat="false" ht="15" hidden="false" customHeight="false" outlineLevel="0" collapsed="false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customFormat="false" ht="15" hidden="false" customHeight="false" outlineLevel="0" collapsed="false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customFormat="false" ht="15" hidden="false" customHeight="false" outlineLevel="0" collapsed="false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customFormat="false" ht="15" hidden="false" customHeight="false" outlineLevel="0" collapsed="false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customFormat="false" ht="15" hidden="false" customHeight="false" outlineLevel="0" collapsed="false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customFormat="false" ht="15" hidden="false" customHeight="false" outlineLevel="0" collapsed="false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customFormat="false" ht="15" hidden="false" customHeight="false" outlineLevel="0" collapsed="false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customFormat="false" ht="15" hidden="false" customHeight="false" outlineLevel="0" collapsed="false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customFormat="false" ht="15" hidden="false" customHeight="false" outlineLevel="0" collapsed="false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customFormat="false" ht="15" hidden="false" customHeight="false" outlineLevel="0" collapsed="false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customFormat="false" ht="15" hidden="false" customHeight="false" outlineLevel="0" collapsed="false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customFormat="false" ht="15" hidden="false" customHeight="false" outlineLevel="0" collapsed="false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customFormat="false" ht="15" hidden="false" customHeight="false" outlineLevel="0" collapsed="false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customFormat="false" ht="15" hidden="false" customHeight="false" outlineLevel="0" collapsed="false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customFormat="false" ht="15" hidden="false" customHeight="false" outlineLevel="0" collapsed="false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customFormat="false" ht="15" hidden="false" customHeight="false" outlineLevel="0" collapsed="false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customFormat="false" ht="15" hidden="false" customHeight="false" outlineLevel="0" collapsed="false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customFormat="false" ht="15" hidden="false" customHeight="false" outlineLevel="0" collapsed="false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customFormat="false" ht="15" hidden="false" customHeight="false" outlineLevel="0" collapsed="false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</x:sheetData>
  <x:mergeCells count="143">
    <x:mergeCell ref="A1:L1"/>
    <x:mergeCell ref="A2:L2"/>
    <x:mergeCell ref="A4:L4"/>
    <x:mergeCell ref="A5:L5"/>
    <x:mergeCell ref="A7:B7"/>
    <x:mergeCell ref="C7:D7"/>
    <x:mergeCell ref="E7:F7"/>
    <x:mergeCell ref="G7:H7"/>
    <x:mergeCell ref="I7:L7"/>
    <x:mergeCell ref="A8:B8"/>
    <x:mergeCell ref="C8:D8"/>
    <x:mergeCell ref="E8:F8"/>
    <x:mergeCell ref="G8:H8"/>
    <x:mergeCell ref="I8:L8"/>
    <x:mergeCell ref="A9:B9"/>
    <x:mergeCell ref="C9:D9"/>
    <x:mergeCell ref="E9:F9"/>
    <x:mergeCell ref="G9:H9"/>
    <x:mergeCell ref="I9:L9"/>
    <x:mergeCell ref="A10:B10"/>
    <x:mergeCell ref="C10:D10"/>
    <x:mergeCell ref="E10:F10"/>
    <x:mergeCell ref="G10:H10"/>
    <x:mergeCell ref="I10:L10"/>
    <x:mergeCell ref="A12:L12"/>
    <x:mergeCell ref="A13:L13"/>
    <x:mergeCell ref="A15:B15"/>
    <x:mergeCell ref="C15:D15"/>
    <x:mergeCell ref="E15:F15"/>
    <x:mergeCell ref="G15:H15"/>
    <x:mergeCell ref="I15:L15"/>
    <x:mergeCell ref="A16:B16"/>
    <x:mergeCell ref="C16:D16"/>
    <x:mergeCell ref="E16:F16"/>
    <x:mergeCell ref="G16:H16"/>
    <x:mergeCell ref="I16:L16"/>
    <x:mergeCell ref="A17:B17"/>
    <x:mergeCell ref="C17:D17"/>
    <x:mergeCell ref="E17:F17"/>
    <x:mergeCell ref="G17:H17"/>
    <x:mergeCell ref="I17:L17"/>
    <x:mergeCell ref="A18:B18"/>
    <x:mergeCell ref="C18:D18"/>
    <x:mergeCell ref="E18:F18"/>
    <x:mergeCell ref="G18:H18"/>
    <x:mergeCell ref="I18:L18"/>
    <x:mergeCell ref="A20:L20"/>
    <x:mergeCell ref="A21:L21"/>
    <x:mergeCell ref="A23:B23"/>
    <x:mergeCell ref="C23:D23"/>
    <x:mergeCell ref="E23:F23"/>
    <x:mergeCell ref="G23:H23"/>
    <x:mergeCell ref="I23:L23"/>
    <x:mergeCell ref="A24:B24"/>
    <x:mergeCell ref="C24:D24"/>
    <x:mergeCell ref="E24:F24"/>
    <x:mergeCell ref="G24:H24"/>
    <x:mergeCell ref="I24:L24"/>
    <x:mergeCell ref="A26:L26"/>
    <x:mergeCell ref="A27:L27"/>
    <x:mergeCell ref="A29:B29"/>
    <x:mergeCell ref="C29:D29"/>
    <x:mergeCell ref="E29:F29"/>
    <x:mergeCell ref="G29:H29"/>
    <x:mergeCell ref="I29:L29"/>
    <x:mergeCell ref="A30:B30"/>
    <x:mergeCell ref="C30:D30"/>
    <x:mergeCell ref="E30:F30"/>
    <x:mergeCell ref="G30:H30"/>
    <x:mergeCell ref="I30:L30"/>
    <x:mergeCell ref="A31:B31"/>
    <x:mergeCell ref="C31:D31"/>
    <x:mergeCell ref="E31:F31"/>
    <x:mergeCell ref="G31:H31"/>
    <x:mergeCell ref="I31:L31"/>
    <x:mergeCell ref="A32:B32"/>
    <x:mergeCell ref="C32:D32"/>
    <x:mergeCell ref="E32:F32"/>
    <x:mergeCell ref="G32:H32"/>
    <x:mergeCell ref="I32:L32"/>
    <x:mergeCell ref="A34:L34"/>
    <x:mergeCell ref="A35:L35"/>
    <x:mergeCell ref="A37:B37"/>
    <x:mergeCell ref="C37:D37"/>
    <x:mergeCell ref="E37:F37"/>
    <x:mergeCell ref="G37:H37"/>
    <x:mergeCell ref="I37:L37"/>
    <x:mergeCell ref="A38:B38"/>
    <x:mergeCell ref="C38:D38"/>
    <x:mergeCell ref="E38:F38"/>
    <x:mergeCell ref="G38:H38"/>
    <x:mergeCell ref="I38:L38"/>
    <x:mergeCell ref="A39:B39"/>
    <x:mergeCell ref="C39:D39"/>
    <x:mergeCell ref="E39:F39"/>
    <x:mergeCell ref="G39:H39"/>
    <x:mergeCell ref="I39:L39"/>
    <x:mergeCell ref="A41:L41"/>
    <x:mergeCell ref="A42:L42"/>
    <x:mergeCell ref="A44:B44"/>
    <x:mergeCell ref="C44:D44"/>
    <x:mergeCell ref="E44:F44"/>
    <x:mergeCell ref="G44:H44"/>
    <x:mergeCell ref="I44:L44"/>
    <x:mergeCell ref="A45:B45"/>
    <x:mergeCell ref="C45:D45"/>
    <x:mergeCell ref="E45:F45"/>
    <x:mergeCell ref="G45:H45"/>
    <x:mergeCell ref="I45:L45"/>
    <x:mergeCell ref="A47:L47"/>
    <x:mergeCell ref="A48:L48"/>
    <x:mergeCell ref="A50:B50"/>
    <x:mergeCell ref="C50:D50"/>
    <x:mergeCell ref="E50:F50"/>
    <x:mergeCell ref="G50:H50"/>
    <x:mergeCell ref="I50:L50"/>
    <x:mergeCell ref="A51:B51"/>
    <x:mergeCell ref="C51:D51"/>
    <x:mergeCell ref="E51:F51"/>
    <x:mergeCell ref="G51:H51"/>
    <x:mergeCell ref="I51:L51"/>
    <x:mergeCell ref="A53:L53"/>
    <x:mergeCell ref="A54:L54"/>
    <x:mergeCell ref="A56:B56"/>
    <x:mergeCell ref="C56:D56"/>
    <x:mergeCell ref="E56:F56"/>
    <x:mergeCell ref="G56:H56"/>
    <x:mergeCell ref="I56:L56"/>
    <x:mergeCell ref="A57:B57"/>
    <x:mergeCell ref="C57:D57"/>
    <x:mergeCell ref="E57:F57"/>
    <x:mergeCell ref="G57:H57"/>
    <x:mergeCell ref="I57:L57"/>
    <x:mergeCell ref="A58:B58"/>
    <x:mergeCell ref="C58:D58"/>
    <x:mergeCell ref="E58:F58"/>
    <x:mergeCell ref="G58:H58"/>
    <x:mergeCell ref="I58:L58"/>
    <x:mergeCell ref="A59:B59"/>
    <x:mergeCell ref="C59:D59"/>
    <x:mergeCell ref="E59:F59"/>
    <x:mergeCell ref="G59:H59"/>
    <x:mergeCell ref="I59:L59"/>
  </x:mergeCells>
  <x:conditionalFormatting sqref="E7">
    <x:cfRule type="cellIs" dxfId="1" priority="2" aboveAverage="0" percent="0" bottom="0" operator="greaterThan" text="" rank="0" equalAverage="0">
      <x:formula>0</x:formula>
    </x:cfRule>
    <x:cfRule type="cellIs" dxfId="2" priority="3" aboveAverage="0" percent="0" bottom="0" operator="lessThan" text="" rank="0" equalAverage="0">
      <x:formula>0</x:formula>
    </x:cfRule>
  </x:conditionalFormatting>
  <x:conditionalFormatting sqref="E8">
    <x:cfRule type="cellIs" dxfId="1" priority="4" aboveAverage="0" percent="0" bottom="0" operator="greaterThan" text="" rank="0" equalAverage="0">
      <x:formula>0</x:formula>
    </x:cfRule>
    <x:cfRule type="cellIs" dxfId="2" priority="5" aboveAverage="0" percent="0" bottom="0" operator="lessThan" text="" rank="0" equalAverage="0">
      <x:formula>0</x:formula>
    </x:cfRule>
  </x:conditionalFormatting>
  <x:conditionalFormatting sqref="E9">
    <x:cfRule type="cellIs" dxfId="1" priority="6" aboveAverage="0" percent="0" bottom="0" operator="greaterThan" text="" rank="0" equalAverage="0">
      <x:formula>0</x:formula>
    </x:cfRule>
    <x:cfRule type="cellIs" dxfId="2" priority="7" aboveAverage="0" percent="0" bottom="0" operator="lessThan" text="" rank="0" equalAverage="0">
      <x:formula>0</x:formula>
    </x:cfRule>
  </x:conditionalFormatting>
  <x:conditionalFormatting sqref="E10">
    <x:cfRule type="cellIs" dxfId="1" priority="8" aboveAverage="0" percent="0" bottom="0" operator="greaterThan" text="" rank="0" equalAverage="0">
      <x:formula>0</x:formula>
    </x:cfRule>
    <x:cfRule type="cellIs" dxfId="2" priority="9" aboveAverage="0" percent="0" bottom="0" operator="lessThan" text="" rank="0" equalAverage="0">
      <x:formula>0</x:formula>
    </x:cfRule>
  </x:conditionalFormatting>
  <x:conditionalFormatting sqref="E15">
    <x:cfRule type="cellIs" dxfId="1" priority="10" aboveAverage="0" percent="0" bottom="0" operator="greaterThan" text="" rank="0" equalAverage="0">
      <x:formula>0</x:formula>
    </x:cfRule>
    <x:cfRule type="cellIs" dxfId="2" priority="11" aboveAverage="0" percent="0" bottom="0" operator="lessThan" text="" rank="0" equalAverage="0">
      <x:formula>0</x:formula>
    </x:cfRule>
  </x:conditionalFormatting>
  <x:conditionalFormatting sqref="E16">
    <x:cfRule type="cellIs" dxfId="1" priority="12" aboveAverage="0" percent="0" bottom="0" operator="greaterThan" text="" rank="0" equalAverage="0">
      <x:formula>0</x:formula>
    </x:cfRule>
    <x:cfRule type="cellIs" dxfId="2" priority="13" aboveAverage="0" percent="0" bottom="0" operator="lessThan" text="" rank="0" equalAverage="0">
      <x:formula>0</x:formula>
    </x:cfRule>
  </x:conditionalFormatting>
  <x:conditionalFormatting sqref="E17">
    <x:cfRule type="cellIs" dxfId="1" priority="14" aboveAverage="0" percent="0" bottom="0" operator="greaterThan" text="" rank="0" equalAverage="0">
      <x:formula>0</x:formula>
    </x:cfRule>
    <x:cfRule type="cellIs" dxfId="2" priority="15" aboveAverage="0" percent="0" bottom="0" operator="lessThan" text="" rank="0" equalAverage="0">
      <x:formula>0</x:formula>
    </x:cfRule>
  </x:conditionalFormatting>
  <x:conditionalFormatting sqref="E18">
    <x:cfRule type="cellIs" dxfId="1" priority="16" aboveAverage="0" percent="0" bottom="0" operator="greaterThan" text="" rank="0" equalAverage="0">
      <x:formula>0</x:formula>
    </x:cfRule>
    <x:cfRule type="cellIs" dxfId="2" priority="17" aboveAverage="0" percent="0" bottom="0" operator="lessThan" text="" rank="0" equalAverage="0">
      <x:formula>0</x:formula>
    </x:cfRule>
  </x:conditionalFormatting>
  <x:conditionalFormatting sqref="E23">
    <x:cfRule type="cellIs" dxfId="1" priority="18" aboveAverage="0" percent="0" bottom="0" operator="greaterThan" text="" rank="0" equalAverage="0">
      <x:formula>0</x:formula>
    </x:cfRule>
    <x:cfRule type="cellIs" dxfId="2" priority="19" aboveAverage="0" percent="0" bottom="0" operator="lessThan" text="" rank="0" equalAverage="0">
      <x:formula>0</x:formula>
    </x:cfRule>
  </x:conditionalFormatting>
  <x:conditionalFormatting sqref="E24">
    <x:cfRule type="cellIs" dxfId="1" priority="20" aboveAverage="0" percent="0" bottom="0" operator="greaterThan" text="" rank="0" equalAverage="0">
      <x:formula>0</x:formula>
    </x:cfRule>
    <x:cfRule type="cellIs" dxfId="2" priority="21" aboveAverage="0" percent="0" bottom="0" operator="lessThan" text="" rank="0" equalAverage="0">
      <x:formula>0</x:formula>
    </x:cfRule>
  </x:conditionalFormatting>
  <x:conditionalFormatting sqref="E29">
    <x:cfRule type="cellIs" dxfId="1" priority="22" aboveAverage="0" percent="0" bottom="0" operator="greaterThan" text="" rank="0" equalAverage="0">
      <x:formula>0</x:formula>
    </x:cfRule>
    <x:cfRule type="cellIs" dxfId="2" priority="23" aboveAverage="0" percent="0" bottom="0" operator="lessThan" text="" rank="0" equalAverage="0">
      <x:formula>0</x:formula>
    </x:cfRule>
  </x:conditionalFormatting>
  <x:conditionalFormatting sqref="E30">
    <x:cfRule type="cellIs" dxfId="1" priority="24" aboveAverage="0" percent="0" bottom="0" operator="greaterThan" text="" rank="0" equalAverage="0">
      <x:formula>0</x:formula>
    </x:cfRule>
    <x:cfRule type="cellIs" dxfId="2" priority="25" aboveAverage="0" percent="0" bottom="0" operator="lessThan" text="" rank="0" equalAverage="0">
      <x:formula>0</x:formula>
    </x:cfRule>
  </x:conditionalFormatting>
  <x:conditionalFormatting sqref="E31">
    <x:cfRule type="cellIs" dxfId="1" priority="26" aboveAverage="0" percent="0" bottom="0" operator="greaterThan" text="" rank="0" equalAverage="0">
      <x:formula>0</x:formula>
    </x:cfRule>
    <x:cfRule type="cellIs" dxfId="2" priority="27" aboveAverage="0" percent="0" bottom="0" operator="lessThan" text="" rank="0" equalAverage="0">
      <x:formula>0</x:formula>
    </x:cfRule>
  </x:conditionalFormatting>
  <x:conditionalFormatting sqref="E32">
    <x:cfRule type="cellIs" dxfId="1" priority="28" aboveAverage="0" percent="0" bottom="0" operator="greaterThan" text="" rank="0" equalAverage="0">
      <x:formula>0</x:formula>
    </x:cfRule>
    <x:cfRule type="cellIs" dxfId="2" priority="29" aboveAverage="0" percent="0" bottom="0" operator="lessThan" text="" rank="0" equalAverage="0">
      <x:formula>0</x:formula>
    </x:cfRule>
  </x:conditionalFormatting>
  <x:conditionalFormatting sqref="E37">
    <x:cfRule type="cellIs" dxfId="1" priority="30" aboveAverage="0" percent="0" bottom="0" operator="greaterThan" text="" rank="0" equalAverage="0">
      <x:formula>0</x:formula>
    </x:cfRule>
    <x:cfRule type="cellIs" dxfId="2" priority="31" aboveAverage="0" percent="0" bottom="0" operator="lessThan" text="" rank="0" equalAverage="0">
      <x:formula>0</x:formula>
    </x:cfRule>
  </x:conditionalFormatting>
  <x:conditionalFormatting sqref="E38">
    <x:cfRule type="cellIs" dxfId="1" priority="32" aboveAverage="0" percent="0" bottom="0" operator="greaterThan" text="" rank="0" equalAverage="0">
      <x:formula>0</x:formula>
    </x:cfRule>
    <x:cfRule type="cellIs" dxfId="2" priority="33" aboveAverage="0" percent="0" bottom="0" operator="lessThan" text="" rank="0" equalAverage="0">
      <x:formula>0</x:formula>
    </x:cfRule>
  </x:conditionalFormatting>
  <x:conditionalFormatting sqref="E39">
    <x:cfRule type="cellIs" dxfId="1" priority="34" aboveAverage="0" percent="0" bottom="0" operator="greaterThan" text="" rank="0" equalAverage="0">
      <x:formula>0</x:formula>
    </x:cfRule>
    <x:cfRule type="cellIs" dxfId="2" priority="35" aboveAverage="0" percent="0" bottom="0" operator="lessThan" text="" rank="0" equalAverage="0">
      <x:formula>0</x:formula>
    </x:cfRule>
  </x:conditionalFormatting>
  <x:conditionalFormatting sqref="E44">
    <x:cfRule type="cellIs" dxfId="1" priority="36" aboveAverage="0" percent="0" bottom="0" operator="greaterThan" text="" rank="0" equalAverage="0">
      <x:formula>0</x:formula>
    </x:cfRule>
    <x:cfRule type="cellIs" dxfId="2" priority="37" aboveAverage="0" percent="0" bottom="0" operator="lessThan" text="" rank="0" equalAverage="0">
      <x:formula>0</x:formula>
    </x:cfRule>
  </x:conditionalFormatting>
  <x:conditionalFormatting sqref="E45">
    <x:cfRule type="cellIs" dxfId="1" priority="38" aboveAverage="0" percent="0" bottom="0" operator="greaterThan" text="" rank="0" equalAverage="0">
      <x:formula>0</x:formula>
    </x:cfRule>
    <x:cfRule type="cellIs" dxfId="2" priority="39" aboveAverage="0" percent="0" bottom="0" operator="lessThan" text="" rank="0" equalAverage="0">
      <x:formula>0</x:formula>
    </x:cfRule>
  </x:conditionalFormatting>
  <x:conditionalFormatting sqref="E50">
    <x:cfRule type="cellIs" dxfId="1" priority="40" aboveAverage="0" percent="0" bottom="0" operator="greaterThan" text="" rank="0" equalAverage="0">
      <x:formula>0</x:formula>
    </x:cfRule>
    <x:cfRule type="cellIs" dxfId="2" priority="41" aboveAverage="0" percent="0" bottom="0" operator="lessThan" text="" rank="0" equalAverage="0">
      <x:formula>0</x:formula>
    </x:cfRule>
  </x:conditionalFormatting>
  <x:conditionalFormatting sqref="E51">
    <x:cfRule type="cellIs" dxfId="1" priority="42" aboveAverage="0" percent="0" bottom="0" operator="greaterThan" text="" rank="0" equalAverage="0">
      <x:formula>0</x:formula>
    </x:cfRule>
    <x:cfRule type="cellIs" dxfId="2" priority="43" aboveAverage="0" percent="0" bottom="0" operator="lessThan" text="" rank="0" equalAverage="0">
      <x:formula>0</x:formula>
    </x:cfRule>
  </x:conditionalFormatting>
  <x:conditionalFormatting sqref="E56">
    <x:cfRule type="cellIs" dxfId="1" priority="44" aboveAverage="0" percent="0" bottom="0" operator="greaterThan" text="" rank="0" equalAverage="0">
      <x:formula>0</x:formula>
    </x:cfRule>
    <x:cfRule type="cellIs" dxfId="2" priority="45" aboveAverage="0" percent="0" bottom="0" operator="lessThan" text="" rank="0" equalAverage="0">
      <x:formula>0</x:formula>
    </x:cfRule>
  </x:conditionalFormatting>
  <x:conditionalFormatting sqref="E57">
    <x:cfRule type="cellIs" dxfId="1" priority="46" aboveAverage="0" percent="0" bottom="0" operator="greaterThan" text="" rank="0" equalAverage="0">
      <x:formula>0</x:formula>
    </x:cfRule>
    <x:cfRule type="cellIs" dxfId="2" priority="47" aboveAverage="0" percent="0" bottom="0" operator="lessThan" text="" rank="0" equalAverage="0">
      <x:formula>0</x:formula>
    </x:cfRule>
  </x:conditionalFormatting>
  <x:conditionalFormatting sqref="E58">
    <x:cfRule type="cellIs" dxfId="1" priority="48" aboveAverage="0" percent="0" bottom="0" operator="greaterThan" text="" rank="0" equalAverage="0">
      <x:formula>0</x:formula>
    </x:cfRule>
    <x:cfRule type="cellIs" dxfId="2" priority="49" aboveAverage="0" percent="0" bottom="0" operator="lessThan" text="" rank="0" equalAverage="0">
      <x:formula>0</x:formula>
    </x:cfRule>
  </x:conditionalFormatting>
  <x:conditionalFormatting sqref="E59">
    <x:cfRule type="cellIs" dxfId="1" priority="50" aboveAverage="0" percent="0" bottom="0" operator="greaterThan" text="" rank="0" equalAverage="0">
      <x:formula>0</x:formula>
    </x:cfRule>
    <x:cfRule type="cellIs" dxfId="2" priority="51" aboveAverage="0" percent="0" bottom="0" operator="lessThan" text="" rank="0" equalAverage="0">
      <x:formula>0</x:formula>
    </x:cfRule>
  </x:conditionalFormatting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J42"/>
  <x:sheetViews>
    <x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796875" defaultRowHeight="15" zeroHeight="false" outlineLevelRow="0" outlineLevelCol="0"/>
  <x:cols>
    <x:col min="1" max="10" width="13" style="0" hidden="false" customWidth="true" outlineLevel="0" collapsed="false"/>
  </x:cols>
  <x:sheetData>
    <x:row r="1" customFormat="false" ht="24" hidden="false" customHeight="true" outlineLevel="0" collapsed="false">
      <x:c r="A1" s="1" t="s">
        <x:v>126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customFormat="false" ht="15" hidden="false" customHeight="false" outlineLevel="0" collapsed="false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customFormat="false" ht="15" hidden="false" customHeight="false" outlineLevel="0" collapsed="false">
      <x:c r="A3" s="3" t="s">
        <x:v>127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customFormat="false" ht="19.5" hidden="false" customHeight="true" outlineLevel="0" collapsed="false">
      <x:c r="A4" s="61" t="s">
        <x:v>128</x:v>
      </x:c>
      <x:c r="B4" s="62" t="s">
        <x:v>129</x:v>
      </x:c>
      <x:c r="C4" s="62"/>
      <x:c r="D4" s="62"/>
      <x:c r="E4" s="62"/>
      <x:c r="F4" s="62"/>
      <x:c r="G4" s="62"/>
      <x:c r="H4" s="62"/>
      <x:c r="I4" s="62"/>
      <x:c r="J4" s="62"/>
    </x:row>
    <x:row r="5" customFormat="false" ht="19.5" hidden="false" customHeight="true" outlineLevel="0" collapsed="false">
      <x:c r="A5" s="61" t="s">
        <x:v>130</x:v>
      </x:c>
      <x:c r="B5" s="62" t="s">
        <x:v>131</x:v>
      </x:c>
      <x:c r="C5" s="62"/>
      <x:c r="D5" s="62"/>
      <x:c r="E5" s="62"/>
      <x:c r="F5" s="62"/>
      <x:c r="G5" s="62"/>
      <x:c r="H5" s="62"/>
      <x:c r="I5" s="62"/>
      <x:c r="J5" s="62"/>
    </x:row>
    <x:row r="6" customFormat="false" ht="19.5" hidden="false" customHeight="true" outlineLevel="0" collapsed="false">
      <x:c r="A6" s="61" t="s">
        <x:v>132</x:v>
      </x:c>
      <x:c r="B6" s="62" t="s">
        <x:v>133</x:v>
      </x:c>
      <x:c r="C6" s="62"/>
      <x:c r="D6" s="62"/>
      <x:c r="E6" s="62"/>
      <x:c r="F6" s="62"/>
      <x:c r="G6" s="62"/>
      <x:c r="H6" s="62"/>
      <x:c r="I6" s="62"/>
      <x:c r="J6" s="62"/>
    </x:row>
    <x:row r="7" customFormat="false" ht="19.5" hidden="false" customHeight="true" outlineLevel="0" collapsed="false">
      <x:c r="A7" s="61" t="s">
        <x:v>134</x:v>
      </x:c>
      <x:c r="B7" s="62" t="s">
        <x:v>135</x:v>
      </x:c>
      <x:c r="C7" s="62"/>
      <x:c r="D7" s="62"/>
      <x:c r="E7" s="62"/>
      <x:c r="F7" s="62"/>
      <x:c r="G7" s="62"/>
      <x:c r="H7" s="62"/>
      <x:c r="I7" s="62"/>
      <x:c r="J7" s="62"/>
    </x:row>
    <x:row r="8" customFormat="false" ht="19.5" hidden="false" customHeight="true" outlineLevel="0" collapsed="false">
      <x:c r="A8" s="61" t="s">
        <x:v>136</x:v>
      </x:c>
      <x:c r="B8" s="62" t="s">
        <x:v>137</x:v>
      </x:c>
      <x:c r="C8" s="62"/>
      <x:c r="D8" s="62"/>
      <x:c r="E8" s="62"/>
      <x:c r="F8" s="62"/>
      <x:c r="G8" s="62"/>
      <x:c r="H8" s="62"/>
      <x:c r="I8" s="62"/>
      <x:c r="J8" s="62"/>
    </x:row>
    <x:row r="9" customFormat="false" ht="19.5" hidden="false" customHeight="true" outlineLevel="0" collapsed="false">
      <x:c r="A9" s="61" t="s">
        <x:v>138</x:v>
      </x:c>
      <x:c r="B9" s="62" t="s">
        <x:v>139</x:v>
      </x:c>
      <x:c r="C9" s="62"/>
      <x:c r="D9" s="62"/>
      <x:c r="E9" s="62"/>
      <x:c r="F9" s="62"/>
      <x:c r="G9" s="62"/>
      <x:c r="H9" s="62"/>
      <x:c r="I9" s="62"/>
      <x:c r="J9" s="62"/>
    </x:row>
    <x:row r="10" customFormat="false" ht="19.5" hidden="false" customHeight="true" outlineLevel="0" collapsed="false">
      <x:c r="A10" s="61" t="s">
        <x:v>140</x:v>
      </x:c>
      <x:c r="B10" s="62" t="s">
        <x:v>141</x:v>
      </x:c>
      <x:c r="C10" s="62"/>
      <x:c r="D10" s="62"/>
      <x:c r="E10" s="62"/>
      <x:c r="F10" s="62"/>
      <x:c r="G10" s="62"/>
      <x:c r="H10" s="62"/>
      <x:c r="I10" s="62"/>
      <x:c r="J10" s="62"/>
    </x:row>
    <x:row r="11" customFormat="false" ht="19.5" hidden="false" customHeight="true" outlineLevel="0" collapsed="false">
      <x:c r="A11" s="61" t="s">
        <x:v>142</x:v>
      </x:c>
      <x:c r="B11" s="62" t="s">
        <x:v>143</x:v>
      </x:c>
      <x:c r="C11" s="62"/>
      <x:c r="D11" s="62"/>
      <x:c r="E11" s="62"/>
      <x:c r="F11" s="62"/>
      <x:c r="G11" s="62"/>
      <x:c r="H11" s="62"/>
      <x:c r="I11" s="62"/>
      <x:c r="J11" s="62"/>
    </x:row>
    <x:row r="12" customFormat="false" ht="19.5" hidden="false" customHeight="true" outlineLevel="0" collapsed="false">
      <x:c r="A12" s="61" t="s">
        <x:v>144</x:v>
      </x:c>
      <x:c r="B12" s="62" t="s">
        <x:v>145</x:v>
      </x:c>
      <x:c r="C12" s="62"/>
      <x:c r="D12" s="62"/>
      <x:c r="E12" s="62"/>
      <x:c r="F12" s="62"/>
      <x:c r="G12" s="62"/>
      <x:c r="H12" s="62"/>
      <x:c r="I12" s="62"/>
      <x:c r="J12" s="62"/>
    </x:row>
    <x:row r="13" customFormat="false" ht="19.5" hidden="false" customHeight="true" outlineLevel="0" collapsed="false">
      <x:c r="A13" s="61" t="s">
        <x:v>146</x:v>
      </x:c>
      <x:c r="B13" s="62" t="s">
        <x:v>147</x:v>
      </x:c>
      <x:c r="C13" s="62"/>
      <x:c r="D13" s="62"/>
      <x:c r="E13" s="62"/>
      <x:c r="F13" s="62"/>
      <x:c r="G13" s="62"/>
      <x:c r="H13" s="62"/>
      <x:c r="I13" s="62"/>
      <x:c r="J13" s="62"/>
    </x:row>
    <x:row r="14" customFormat="false" ht="19.5" hidden="false" customHeight="true" outlineLevel="0" collapsed="false">
      <x:c r="A14" s="61" t="s">
        <x:v>148</x:v>
      </x:c>
      <x:c r="B14" s="62" t="s">
        <x:v>149</x:v>
      </x:c>
      <x:c r="C14" s="62"/>
      <x:c r="D14" s="62"/>
      <x:c r="E14" s="62"/>
      <x:c r="F14" s="62"/>
      <x:c r="G14" s="62"/>
      <x:c r="H14" s="62"/>
      <x:c r="I14" s="62"/>
      <x:c r="J14" s="62"/>
    </x:row>
    <x:row r="15" customFormat="false" ht="19.5" hidden="false" customHeight="true" outlineLevel="0" collapsed="false">
      <x:c r="A15" s="61" t="s">
        <x:v>150</x:v>
      </x:c>
      <x:c r="B15" s="62" t="s">
        <x:v>151</x:v>
      </x:c>
      <x:c r="C15" s="62"/>
      <x:c r="D15" s="62"/>
      <x:c r="E15" s="62"/>
      <x:c r="F15" s="62"/>
      <x:c r="G15" s="62"/>
      <x:c r="H15" s="62"/>
      <x:c r="I15" s="62"/>
      <x:c r="J15" s="62"/>
    </x:row>
    <x:row r="16" customFormat="false" ht="15" hidden="false" customHeight="false" outlineLevel="0" collapsed="false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customFormat="false" ht="15" hidden="false" customHeight="false" outlineLevel="0" collapsed="false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customFormat="false" ht="15" hidden="false" customHeight="false" outlineLevel="0" collapsed="false">
      <x:c r="A18" s="3" t="s">
        <x:v>152</x:v>
      </x:c>
      <x:c r="B18" s="3"/>
      <x:c r="C18" s="3"/>
      <x:c r="D18" s="3"/>
      <x:c r="E18" s="3"/>
      <x:c r="F18" s="3"/>
      <x:c r="G18" s="3"/>
      <x:c r="H18" s="3"/>
      <x:c r="I18" s="3"/>
      <x:c r="J18" s="3"/>
    </x:row>
    <x:row r="19" customFormat="false" ht="15" hidden="false" customHeight="false" outlineLevel="0" collapsed="false">
      <x:c r="A19" s="63" t="s">
        <x:v>51</x:v>
      </x:c>
      <x:c r="B19" s="63"/>
      <x:c r="C19" s="63" t="s">
        <x:v>153</x:v>
      </x:c>
      <x:c r="D19" s="63"/>
      <x:c r="E19" s="63" t="s">
        <x:v>154</x:v>
      </x:c>
      <x:c r="F19" s="63"/>
      <x:c r="G19" s="63" t="s">
        <x:v>155</x:v>
      </x:c>
      <x:c r="H19" s="63"/>
      <x:c r="I19" s="63" t="s">
        <x:v>156</x:v>
      </x:c>
      <x:c r="J19" s="63"/>
    </x:row>
    <x:row r="20" customFormat="false" ht="25.5" hidden="false" customHeight="true" outlineLevel="0" collapsed="false">
      <x:c r="A20" s="64" t="s">
        <x:v>71</x:v>
      </x:c>
      <x:c r="B20" s="64"/>
      <x:c r="C20" s="65" t="s">
        <x:v>157</x:v>
      </x:c>
      <x:c r="D20" s="65"/>
      <x:c r="E20" s="65" t="s">
        <x:v>158</x:v>
      </x:c>
      <x:c r="F20" s="65"/>
      <x:c r="G20" s="65" t="s">
        <x:v>159</x:v>
      </x:c>
      <x:c r="H20" s="65"/>
      <x:c r="I20" s="65"/>
      <x:c r="J20" s="65"/>
    </x:row>
    <x:row r="21" customFormat="false" ht="25.5" hidden="false" customHeight="true" outlineLevel="0" collapsed="false">
      <x:c r="A21" s="64" t="s">
        <x:v>92</x:v>
      </x:c>
      <x:c r="B21" s="64"/>
      <x:c r="C21" s="65" t="s">
        <x:v>160</x:v>
      </x:c>
      <x:c r="D21" s="65"/>
      <x:c r="E21" s="65" t="s">
        <x:v>161</x:v>
      </x:c>
      <x:c r="F21" s="65"/>
      <x:c r="G21" s="65" t="s">
        <x:v>162</x:v>
      </x:c>
      <x:c r="H21" s="65"/>
      <x:c r="I21" s="65"/>
      <x:c r="J21" s="65"/>
    </x:row>
    <x:row r="22" customFormat="false" ht="25.5" hidden="false" customHeight="true" outlineLevel="0" collapsed="false">
      <x:c r="A22" s="64" t="s">
        <x:v>93</x:v>
      </x:c>
      <x:c r="B22" s="64"/>
      <x:c r="C22" s="65" t="s">
        <x:v>163</x:v>
      </x:c>
      <x:c r="D22" s="65"/>
      <x:c r="E22" s="65" t="s">
        <x:v>164</x:v>
      </x:c>
      <x:c r="F22" s="65"/>
      <x:c r="G22" s="65" t="s">
        <x:v>165</x:v>
      </x:c>
      <x:c r="H22" s="65"/>
      <x:c r="I22" s="65"/>
      <x:c r="J22" s="65"/>
    </x:row>
    <x:row r="23" customFormat="false" ht="25.5" hidden="false" customHeight="true" outlineLevel="0" collapsed="false">
      <x:c r="A23" s="64" t="s">
        <x:v>94</x:v>
      </x:c>
      <x:c r="B23" s="64"/>
      <x:c r="C23" s="65" t="s">
        <x:v>166</x:v>
      </x:c>
      <x:c r="D23" s="65"/>
      <x:c r="E23" s="65" t="s">
        <x:v>167</x:v>
      </x:c>
      <x:c r="F23" s="65"/>
      <x:c r="G23" s="65" t="s">
        <x:v>168</x:v>
      </x:c>
      <x:c r="H23" s="65"/>
      <x:c r="I23" s="65"/>
      <x:c r="J23" s="65"/>
    </x:row>
    <x:row r="24" customFormat="false" ht="15" hidden="false" customHeight="false" outlineLevel="0" collapsed="false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customFormat="false" ht="15" hidden="false" customHeight="false" outlineLevel="0" collapsed="false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customFormat="false" ht="15" hidden="false" customHeight="false" outlineLevel="0" collapsed="false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customFormat="false" ht="15" hidden="false" customHeight="false" outlineLevel="0" collapsed="false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customFormat="false" ht="15" hidden="false" customHeight="false" outlineLevel="0" collapsed="false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customFormat="false" ht="15" hidden="false" customHeight="false" outlineLevel="0" collapsed="false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customFormat="false" ht="15" hidden="false" customHeight="false" outlineLevel="0" collapsed="false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customFormat="false" ht="15" hidden="false" customHeight="false" outlineLevel="0" collapsed="false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customFormat="false" ht="15" hidden="false" customHeight="false" outlineLevel="0" collapsed="false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customFormat="false" ht="15" hidden="false" customHeight="false" outlineLevel="0" collapsed="false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customFormat="false" ht="15" hidden="false" customHeight="false" outlineLevel="0" collapsed="false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customFormat="false" ht="15" hidden="false" customHeight="false" outlineLevel="0" collapsed="false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customFormat="false" ht="15" hidden="false" customHeight="false" outlineLevel="0" collapsed="false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customFormat="false" ht="15" hidden="false" customHeight="false" outlineLevel="0" collapsed="false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customFormat="false" ht="15" hidden="false" customHeight="false" outlineLevel="0" collapsed="false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customFormat="false" ht="15" hidden="false" customHeight="false" outlineLevel="0" collapsed="false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customFormat="false" ht="15" hidden="false" customHeight="false" outlineLevel="0" collapsed="false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customFormat="false" ht="15" hidden="false" customHeight="false" outlineLevel="0" collapsed="false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customFormat="false" ht="15" hidden="false" customHeight="false" outlineLevel="0" collapsed="false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</x:sheetData>
  <x:mergeCells count="40">
    <x:mergeCell ref="A1:J1"/>
    <x:mergeCell ref="A3:J3"/>
    <x:mergeCell ref="B4:J4"/>
    <x:mergeCell ref="B5:J5"/>
    <x:mergeCell ref="B6:J6"/>
    <x:mergeCell ref="B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A18:J18"/>
    <x:mergeCell ref="A19:B19"/>
    <x:mergeCell ref="C19:D19"/>
    <x:mergeCell ref="E19:F19"/>
    <x:mergeCell ref="G19:H19"/>
    <x:mergeCell ref="I19:J19"/>
    <x:mergeCell ref="A20:B20"/>
    <x:mergeCell ref="C20:D20"/>
    <x:mergeCell ref="E20:F20"/>
    <x:mergeCell ref="G20:H20"/>
    <x:mergeCell ref="I20:J20"/>
    <x:mergeCell ref="A21:B21"/>
    <x:mergeCell ref="C21:D21"/>
    <x:mergeCell ref="E21:F21"/>
    <x:mergeCell ref="G21:H21"/>
    <x:mergeCell ref="I21:J21"/>
    <x:mergeCell ref="A22:B22"/>
    <x:mergeCell ref="C22:D22"/>
    <x:mergeCell ref="E22:F22"/>
    <x:mergeCell ref="G22:H22"/>
    <x:mergeCell ref="I22:J22"/>
    <x:mergeCell ref="A23:B23"/>
    <x:mergeCell ref="C23:D23"/>
    <x:mergeCell ref="E23:F23"/>
    <x:mergeCell ref="G23:H23"/>
    <x:mergeCell ref="I23:J23"/>
  </x:mergeCells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pageSetUpPr fitToPage="false"/>
  </x:sheetPr>
  <x:dimension ref="A1:C151"/>
  <x:sheetViews>
    <x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x:selection pane="topLeft" activeCell="A1" activeCellId="0" sqref="A1"/>
    </x:sheetView>
  </x:sheetViews>
  <x:sheetFormatPr defaultColWidth="8.6796875" defaultRowHeight="15" zeroHeight="false" outlineLevelRow="0" outlineLevelCol="0"/>
  <x:sheetData>
    <x:row r="1" customFormat="false" ht="15" hidden="false" customHeight="false" outlineLevel="0" collapsed="false">
      <x:c r="A1" s="66" t="s">
        <x:v>80</x:v>
      </x:c>
      <x:c r="B1" s="66" t="s">
        <x:v>169</x:v>
      </x:c>
      <x:c r="C1" s="66" t="s">
        <x:v>170</x:v>
      </x:c>
    </x:row>
    <x:row r="2" customFormat="false" ht="15" hidden="false" customHeight="false" outlineLevel="0" collapsed="false">
      <x:c r="A2" s="67" t="n">
        <x:f aca="false">IF('Trade Log'!T4="","",'Trade Log'!A4)</x:f>
        <x:v>46273</x:v>
      </x:c>
      <x:c r="B2" s="68" t="n">
        <x:f aca="false">IF('Trade Log'!S4="",0,'Trade Log'!S4)</x:f>
        <x:v>875.52508</x:v>
      </x:c>
      <x:c r="C2" s="66" t="n">
        <x:f aca="false">Dashboard!$B$4+B2</x:f>
        <x:v>50875.52508</x:v>
      </x:c>
    </x:row>
    <x:row r="3" customFormat="false" ht="15" hidden="false" customHeight="false" outlineLevel="0" collapsed="false">
      <x:c r="A3" s="66" t="str">
        <x:f aca="false">IF('Trade Log'!T5="","",'Trade Log'!A5)</x:f>
        <x:v/>
      </x:c>
      <x:c r="B3" s="66" t="n">
        <x:f aca="false">IF('Trade Log'!S5="",N(B2),N(B2)+'Trade Log'!S5)</x:f>
        <x:v>875.52508</x:v>
      </x:c>
      <x:c r="C3" s="66" t="n">
        <x:f aca="false">Dashboard!$B$4+B3</x:f>
        <x:v>50875.52508</x:v>
      </x:c>
    </x:row>
    <x:row r="4" customFormat="false" ht="15" hidden="false" customHeight="false" outlineLevel="0" collapsed="false">
      <x:c r="A4" s="66" t="str">
        <x:f aca="false">IF('Trade Log'!T6="","",'Trade Log'!A6)</x:f>
        <x:v/>
      </x:c>
      <x:c r="B4" s="66" t="n">
        <x:f aca="false">IF('Trade Log'!S6="",N(B3),N(B3)+'Trade Log'!S6)</x:f>
        <x:v>875.52508</x:v>
      </x:c>
      <x:c r="C4" s="66" t="n">
        <x:f aca="false">Dashboard!$B$4+B4</x:f>
        <x:v>50875.52508</x:v>
      </x:c>
    </x:row>
    <x:row r="5" customFormat="false" ht="15" hidden="false" customHeight="false" outlineLevel="0" collapsed="false">
      <x:c r="A5" s="66" t="str">
        <x:f aca="false">IF('Trade Log'!T7="","",'Trade Log'!A7)</x:f>
        <x:v/>
      </x:c>
      <x:c r="B5" s="66" t="n">
        <x:f aca="false">IF('Trade Log'!S7="",N(B4),N(B4)+'Trade Log'!S7)</x:f>
        <x:v>875.52508</x:v>
      </x:c>
      <x:c r="C5" s="66" t="n">
        <x:f aca="false">Dashboard!$B$4+B5</x:f>
        <x:v>50875.52508</x:v>
      </x:c>
    </x:row>
    <x:row r="6" customFormat="false" ht="15" hidden="false" customHeight="false" outlineLevel="0" collapsed="false">
      <x:c r="A6" s="66" t="str">
        <x:f aca="false">IF('Trade Log'!T8="","",'Trade Log'!A8)</x:f>
        <x:v/>
      </x:c>
      <x:c r="B6" s="66" t="n">
        <x:f aca="false">IF('Trade Log'!S8="",N(B5),N(B5)+'Trade Log'!S8)</x:f>
        <x:v>875.52508</x:v>
      </x:c>
      <x:c r="C6" s="66" t="n">
        <x:f aca="false">Dashboard!$B$4+B6</x:f>
        <x:v>50875.52508</x:v>
      </x:c>
    </x:row>
    <x:row r="7" customFormat="false" ht="15" hidden="false" customHeight="false" outlineLevel="0" collapsed="false">
      <x:c r="A7" s="66" t="str">
        <x:f aca="false">IF('Trade Log'!T9="","",'Trade Log'!A9)</x:f>
        <x:v/>
      </x:c>
      <x:c r="B7" s="66" t="n">
        <x:f aca="false">IF('Trade Log'!S9="",N(B6),N(B6)+'Trade Log'!S9)</x:f>
        <x:v>875.52508</x:v>
      </x:c>
      <x:c r="C7" s="66" t="n">
        <x:f aca="false">Dashboard!$B$4+B7</x:f>
        <x:v>50875.52508</x:v>
      </x:c>
    </x:row>
    <x:row r="8" customFormat="false" ht="15" hidden="false" customHeight="false" outlineLevel="0" collapsed="false">
      <x:c r="A8" s="66" t="str">
        <x:f aca="false">IF('Trade Log'!T10="","",'Trade Log'!A10)</x:f>
        <x:v/>
      </x:c>
      <x:c r="B8" s="66" t="n">
        <x:f aca="false">IF('Trade Log'!S10="",N(B7),N(B7)+'Trade Log'!S10)</x:f>
        <x:v>875.52508</x:v>
      </x:c>
      <x:c r="C8" s="66" t="n">
        <x:f aca="false">Dashboard!$B$4+B8</x:f>
        <x:v>50875.52508</x:v>
      </x:c>
    </x:row>
    <x:row r="9" customFormat="false" ht="15" hidden="false" customHeight="false" outlineLevel="0" collapsed="false">
      <x:c r="A9" s="66" t="str">
        <x:f aca="false">IF('Trade Log'!T11="","",'Trade Log'!A11)</x:f>
        <x:v/>
      </x:c>
      <x:c r="B9" s="66" t="n">
        <x:f aca="false">IF('Trade Log'!S11="",N(B8),N(B8)+'Trade Log'!S11)</x:f>
        <x:v>875.52508</x:v>
      </x:c>
      <x:c r="C9" s="66" t="n">
        <x:f aca="false">Dashboard!$B$4+B9</x:f>
        <x:v>50875.52508</x:v>
      </x:c>
    </x:row>
    <x:row r="10" customFormat="false" ht="15" hidden="false" customHeight="false" outlineLevel="0" collapsed="false">
      <x:c r="A10" s="66" t="str">
        <x:f aca="false">IF('Trade Log'!T12="","",'Trade Log'!A12)</x:f>
        <x:v/>
      </x:c>
      <x:c r="B10" s="66" t="n">
        <x:f aca="false">IF('Trade Log'!S12="",N(B9),N(B9)+'Trade Log'!S12)</x:f>
        <x:v>875.52508</x:v>
      </x:c>
      <x:c r="C10" s="66" t="n">
        <x:f aca="false">Dashboard!$B$4+B10</x:f>
        <x:v>50875.52508</x:v>
      </x:c>
    </x:row>
    <x:row r="11" customFormat="false" ht="15" hidden="false" customHeight="false" outlineLevel="0" collapsed="false">
      <x:c r="A11" s="66" t="str">
        <x:f aca="false">IF('Trade Log'!T13="","",'Trade Log'!A13)</x:f>
        <x:v/>
      </x:c>
      <x:c r="B11" s="66" t="n">
        <x:f aca="false">IF('Trade Log'!S13="",N(B10),N(B10)+'Trade Log'!S13)</x:f>
        <x:v>875.52508</x:v>
      </x:c>
      <x:c r="C11" s="66" t="n">
        <x:f aca="false">Dashboard!$B$4+B11</x:f>
        <x:v>50875.52508</x:v>
      </x:c>
    </x:row>
    <x:row r="12" customFormat="false" ht="15" hidden="false" customHeight="false" outlineLevel="0" collapsed="false">
      <x:c r="A12" s="66" t="str">
        <x:f aca="false">IF('Trade Log'!T14="","",'Trade Log'!A14)</x:f>
        <x:v/>
      </x:c>
      <x:c r="B12" s="66" t="n">
        <x:f aca="false">IF('Trade Log'!S14="",N(B11),N(B11)+'Trade Log'!S14)</x:f>
        <x:v>875.52508</x:v>
      </x:c>
      <x:c r="C12" s="66" t="n">
        <x:f aca="false">Dashboard!$B$4+B12</x:f>
        <x:v>50875.52508</x:v>
      </x:c>
    </x:row>
    <x:row r="13" customFormat="false" ht="15" hidden="false" customHeight="false" outlineLevel="0" collapsed="false">
      <x:c r="A13" s="66" t="str">
        <x:f aca="false">IF('Trade Log'!T15="","",'Trade Log'!A15)</x:f>
        <x:v/>
      </x:c>
      <x:c r="B13" s="66" t="n">
        <x:f aca="false">IF('Trade Log'!S15="",N(B12),N(B12)+'Trade Log'!S15)</x:f>
        <x:v>875.52508</x:v>
      </x:c>
      <x:c r="C13" s="66" t="n">
        <x:f aca="false">Dashboard!$B$4+B13</x:f>
        <x:v>50875.52508</x:v>
      </x:c>
    </x:row>
    <x:row r="14" customFormat="false" ht="15" hidden="false" customHeight="false" outlineLevel="0" collapsed="false">
      <x:c r="A14" s="66" t="str">
        <x:f aca="false">IF('Trade Log'!T16="","",'Trade Log'!A16)</x:f>
        <x:v/>
      </x:c>
      <x:c r="B14" s="66" t="n">
        <x:f aca="false">IF('Trade Log'!S16="",N(B13),N(B13)+'Trade Log'!S16)</x:f>
        <x:v>875.52508</x:v>
      </x:c>
      <x:c r="C14" s="66" t="n">
        <x:f aca="false">Dashboard!$B$4+B14</x:f>
        <x:v>50875.52508</x:v>
      </x:c>
    </x:row>
    <x:row r="15" customFormat="false" ht="15" hidden="false" customHeight="false" outlineLevel="0" collapsed="false">
      <x:c r="A15" s="66" t="str">
        <x:f aca="false">IF('Trade Log'!T17="","",'Trade Log'!A17)</x:f>
        <x:v/>
      </x:c>
      <x:c r="B15" s="66" t="n">
        <x:f aca="false">IF('Trade Log'!S17="",N(B14),N(B14)+'Trade Log'!S17)</x:f>
        <x:v>875.52508</x:v>
      </x:c>
      <x:c r="C15" s="66" t="n">
        <x:f aca="false">Dashboard!$B$4+B15</x:f>
        <x:v>50875.52508</x:v>
      </x:c>
    </x:row>
    <x:row r="16" customFormat="false" ht="15" hidden="false" customHeight="false" outlineLevel="0" collapsed="false">
      <x:c r="A16" s="66" t="str">
        <x:f aca="false">IF('Trade Log'!T18="","",'Trade Log'!A18)</x:f>
        <x:v/>
      </x:c>
      <x:c r="B16" s="66" t="n">
        <x:f aca="false">IF('Trade Log'!S18="",N(B15),N(B15)+'Trade Log'!S18)</x:f>
        <x:v>875.52508</x:v>
      </x:c>
      <x:c r="C16" s="66" t="n">
        <x:f aca="false">Dashboard!$B$4+B16</x:f>
        <x:v>50875.52508</x:v>
      </x:c>
    </x:row>
    <x:row r="17" customFormat="false" ht="15" hidden="false" customHeight="false" outlineLevel="0" collapsed="false">
      <x:c r="A17" s="66" t="str">
        <x:f aca="false">IF('Trade Log'!T19="","",'Trade Log'!A19)</x:f>
        <x:v/>
      </x:c>
      <x:c r="B17" s="66" t="n">
        <x:f aca="false">IF('Trade Log'!S19="",N(B16),N(B16)+'Trade Log'!S19)</x:f>
        <x:v>875.52508</x:v>
      </x:c>
      <x:c r="C17" s="66" t="n">
        <x:f aca="false">Dashboard!$B$4+B17</x:f>
        <x:v>50875.52508</x:v>
      </x:c>
    </x:row>
    <x:row r="18" customFormat="false" ht="15" hidden="false" customHeight="false" outlineLevel="0" collapsed="false">
      <x:c r="A18" s="66" t="str">
        <x:f aca="false">IF('Trade Log'!T20="","",'Trade Log'!A20)</x:f>
        <x:v/>
      </x:c>
      <x:c r="B18" s="66" t="n">
        <x:f aca="false">IF('Trade Log'!S20="",N(B17),N(B17)+'Trade Log'!S20)</x:f>
        <x:v>875.52508</x:v>
      </x:c>
      <x:c r="C18" s="66" t="n">
        <x:f aca="false">Dashboard!$B$4+B18</x:f>
        <x:v>50875.52508</x:v>
      </x:c>
    </x:row>
    <x:row r="19" customFormat="false" ht="15" hidden="false" customHeight="false" outlineLevel="0" collapsed="false">
      <x:c r="A19" s="66" t="str">
        <x:f aca="false">IF('Trade Log'!T21="","",'Trade Log'!A21)</x:f>
        <x:v/>
      </x:c>
      <x:c r="B19" s="66" t="n">
        <x:f aca="false">IF('Trade Log'!S21="",N(B18),N(B18)+'Trade Log'!S21)</x:f>
        <x:v>875.52508</x:v>
      </x:c>
      <x:c r="C19" s="66" t="n">
        <x:f aca="false">Dashboard!$B$4+B19</x:f>
        <x:v>50875.52508</x:v>
      </x:c>
    </x:row>
    <x:row r="20" customFormat="false" ht="15" hidden="false" customHeight="false" outlineLevel="0" collapsed="false">
      <x:c r="A20" s="66" t="str">
        <x:f aca="false">IF('Trade Log'!T22="","",'Trade Log'!A22)</x:f>
        <x:v/>
      </x:c>
      <x:c r="B20" s="66" t="n">
        <x:f aca="false">IF('Trade Log'!S22="",N(B19),N(B19)+'Trade Log'!S22)</x:f>
        <x:v>875.52508</x:v>
      </x:c>
      <x:c r="C20" s="66" t="n">
        <x:f aca="false">Dashboard!$B$4+B20</x:f>
        <x:v>50875.52508</x:v>
      </x:c>
    </x:row>
    <x:row r="21" customFormat="false" ht="15" hidden="false" customHeight="false" outlineLevel="0" collapsed="false">
      <x:c r="A21" s="66" t="str">
        <x:f aca="false">IF('Trade Log'!T23="","",'Trade Log'!A23)</x:f>
        <x:v/>
      </x:c>
      <x:c r="B21" s="66" t="n">
        <x:f aca="false">IF('Trade Log'!S23="",N(B20),N(B20)+'Trade Log'!S23)</x:f>
        <x:v>875.52508</x:v>
      </x:c>
      <x:c r="C21" s="66" t="n">
        <x:f aca="false">Dashboard!$B$4+B21</x:f>
        <x:v>50875.52508</x:v>
      </x:c>
    </x:row>
    <x:row r="22" customFormat="false" ht="15" hidden="false" customHeight="false" outlineLevel="0" collapsed="false">
      <x:c r="A22" s="66" t="str">
        <x:f aca="false">IF('Trade Log'!T24="","",'Trade Log'!A24)</x:f>
        <x:v/>
      </x:c>
      <x:c r="B22" s="66" t="n">
        <x:f aca="false">IF('Trade Log'!S24="",N(B21),N(B21)+'Trade Log'!S24)</x:f>
        <x:v>875.52508</x:v>
      </x:c>
      <x:c r="C22" s="66" t="n">
        <x:f aca="false">Dashboard!$B$4+B22</x:f>
        <x:v>50875.52508</x:v>
      </x:c>
    </x:row>
    <x:row r="23" customFormat="false" ht="15" hidden="false" customHeight="false" outlineLevel="0" collapsed="false">
      <x:c r="A23" s="66" t="str">
        <x:f aca="false">IF('Trade Log'!T25="","",'Trade Log'!A25)</x:f>
        <x:v/>
      </x:c>
      <x:c r="B23" s="66" t="n">
        <x:f aca="false">IF('Trade Log'!S25="",N(B22),N(B22)+'Trade Log'!S25)</x:f>
        <x:v>875.52508</x:v>
      </x:c>
      <x:c r="C23" s="66" t="n">
        <x:f aca="false">Dashboard!$B$4+B23</x:f>
        <x:v>50875.52508</x:v>
      </x:c>
    </x:row>
    <x:row r="24" customFormat="false" ht="15" hidden="false" customHeight="false" outlineLevel="0" collapsed="false">
      <x:c r="A24" s="66" t="str">
        <x:f aca="false">IF('Trade Log'!T26="","",'Trade Log'!A26)</x:f>
        <x:v/>
      </x:c>
      <x:c r="B24" s="66" t="n">
        <x:f aca="false">IF('Trade Log'!S26="",N(B23),N(B23)+'Trade Log'!S26)</x:f>
        <x:v>875.52508</x:v>
      </x:c>
      <x:c r="C24" s="66" t="n">
        <x:f aca="false">Dashboard!$B$4+B24</x:f>
        <x:v>50875.52508</x:v>
      </x:c>
    </x:row>
    <x:row r="25" customFormat="false" ht="15" hidden="false" customHeight="false" outlineLevel="0" collapsed="false">
      <x:c r="A25" s="66" t="str">
        <x:f aca="false">IF('Trade Log'!T27="","",'Trade Log'!A27)</x:f>
        <x:v/>
      </x:c>
      <x:c r="B25" s="66" t="n">
        <x:f aca="false">IF('Trade Log'!S27="",N(B24),N(B24)+'Trade Log'!S27)</x:f>
        <x:v>875.52508</x:v>
      </x:c>
      <x:c r="C25" s="66" t="n">
        <x:f aca="false">Dashboard!$B$4+B25</x:f>
        <x:v>50875.52508</x:v>
      </x:c>
    </x:row>
    <x:row r="26" customFormat="false" ht="15" hidden="false" customHeight="false" outlineLevel="0" collapsed="false">
      <x:c r="A26" s="66" t="str">
        <x:f aca="false">IF('Trade Log'!T28="","",'Trade Log'!A28)</x:f>
        <x:v/>
      </x:c>
      <x:c r="B26" s="66" t="n">
        <x:f aca="false">IF('Trade Log'!S28="",N(B25),N(B25)+'Trade Log'!S28)</x:f>
        <x:v>875.52508</x:v>
      </x:c>
      <x:c r="C26" s="66" t="n">
        <x:f aca="false">Dashboard!$B$4+B26</x:f>
        <x:v>50875.52508</x:v>
      </x:c>
    </x:row>
    <x:row r="27" customFormat="false" ht="15" hidden="false" customHeight="false" outlineLevel="0" collapsed="false">
      <x:c r="A27" s="66" t="str">
        <x:f aca="false">IF('Trade Log'!T29="","",'Trade Log'!A29)</x:f>
        <x:v/>
      </x:c>
      <x:c r="B27" s="66" t="n">
        <x:f aca="false">IF('Trade Log'!S29="",N(B26),N(B26)+'Trade Log'!S29)</x:f>
        <x:v>875.52508</x:v>
      </x:c>
      <x:c r="C27" s="66" t="n">
        <x:f aca="false">Dashboard!$B$4+B27</x:f>
        <x:v>50875.52508</x:v>
      </x:c>
    </x:row>
    <x:row r="28" customFormat="false" ht="15" hidden="false" customHeight="false" outlineLevel="0" collapsed="false">
      <x:c r="A28" s="66" t="str">
        <x:f aca="false">IF('Trade Log'!T30="","",'Trade Log'!A30)</x:f>
        <x:v/>
      </x:c>
      <x:c r="B28" s="66" t="n">
        <x:f aca="false">IF('Trade Log'!S30="",N(B27),N(B27)+'Trade Log'!S30)</x:f>
        <x:v>875.52508</x:v>
      </x:c>
      <x:c r="C28" s="66" t="n">
        <x:f aca="false">Dashboard!$B$4+B28</x:f>
        <x:v>50875.52508</x:v>
      </x:c>
    </x:row>
    <x:row r="29" customFormat="false" ht="15" hidden="false" customHeight="false" outlineLevel="0" collapsed="false">
      <x:c r="A29" s="66" t="str">
        <x:f aca="false">IF('Trade Log'!T31="","",'Trade Log'!A31)</x:f>
        <x:v/>
      </x:c>
      <x:c r="B29" s="66" t="n">
        <x:f aca="false">IF('Trade Log'!S31="",N(B28),N(B28)+'Trade Log'!S31)</x:f>
        <x:v>875.52508</x:v>
      </x:c>
      <x:c r="C29" s="66" t="n">
        <x:f aca="false">Dashboard!$B$4+B29</x:f>
        <x:v>50875.52508</x:v>
      </x:c>
    </x:row>
    <x:row r="30" customFormat="false" ht="15" hidden="false" customHeight="false" outlineLevel="0" collapsed="false">
      <x:c r="A30" s="66" t="str">
        <x:f aca="false">IF('Trade Log'!T32="","",'Trade Log'!A32)</x:f>
        <x:v/>
      </x:c>
      <x:c r="B30" s="66" t="n">
        <x:f aca="false">IF('Trade Log'!S32="",N(B29),N(B29)+'Trade Log'!S32)</x:f>
        <x:v>875.52508</x:v>
      </x:c>
      <x:c r="C30" s="66" t="n">
        <x:f aca="false">Dashboard!$B$4+B30</x:f>
        <x:v>50875.52508</x:v>
      </x:c>
    </x:row>
    <x:row r="31" customFormat="false" ht="15" hidden="false" customHeight="false" outlineLevel="0" collapsed="false">
      <x:c r="A31" s="66" t="str">
        <x:f aca="false">IF('Trade Log'!T33="","",'Trade Log'!A33)</x:f>
        <x:v/>
      </x:c>
      <x:c r="B31" s="66" t="n">
        <x:f aca="false">IF('Trade Log'!S33="",N(B30),N(B30)+'Trade Log'!S33)</x:f>
        <x:v>875.52508</x:v>
      </x:c>
      <x:c r="C31" s="66" t="n">
        <x:f aca="false">Dashboard!$B$4+B31</x:f>
        <x:v>50875.52508</x:v>
      </x:c>
    </x:row>
    <x:row r="32" customFormat="false" ht="15" hidden="false" customHeight="false" outlineLevel="0" collapsed="false">
      <x:c r="A32" s="66" t="str">
        <x:f aca="false">IF('Trade Log'!T34="","",'Trade Log'!A34)</x:f>
        <x:v/>
      </x:c>
      <x:c r="B32" s="66" t="n">
        <x:f aca="false">IF('Trade Log'!S34="",N(B31),N(B31)+'Trade Log'!S34)</x:f>
        <x:v>875.52508</x:v>
      </x:c>
      <x:c r="C32" s="66" t="n">
        <x:f aca="false">Dashboard!$B$4+B32</x:f>
        <x:v>50875.52508</x:v>
      </x:c>
    </x:row>
    <x:row r="33" customFormat="false" ht="15" hidden="false" customHeight="false" outlineLevel="0" collapsed="false">
      <x:c r="A33" s="66" t="str">
        <x:f aca="false">IF('Trade Log'!T35="","",'Trade Log'!A35)</x:f>
        <x:v/>
      </x:c>
      <x:c r="B33" s="66" t="n">
        <x:f aca="false">IF('Trade Log'!S35="",N(B32),N(B32)+'Trade Log'!S35)</x:f>
        <x:v>875.52508</x:v>
      </x:c>
      <x:c r="C33" s="66" t="n">
        <x:f aca="false">Dashboard!$B$4+B33</x:f>
        <x:v>50875.52508</x:v>
      </x:c>
    </x:row>
    <x:row r="34" customFormat="false" ht="15" hidden="false" customHeight="false" outlineLevel="0" collapsed="false">
      <x:c r="A34" s="66" t="str">
        <x:f aca="false">IF('Trade Log'!T36="","",'Trade Log'!A36)</x:f>
        <x:v/>
      </x:c>
      <x:c r="B34" s="66" t="n">
        <x:f aca="false">IF('Trade Log'!S36="",N(B33),N(B33)+'Trade Log'!S36)</x:f>
        <x:v>875.52508</x:v>
      </x:c>
      <x:c r="C34" s="66" t="n">
        <x:f aca="false">Dashboard!$B$4+B34</x:f>
        <x:v>50875.52508</x:v>
      </x:c>
    </x:row>
    <x:row r="35" customFormat="false" ht="15" hidden="false" customHeight="false" outlineLevel="0" collapsed="false">
      <x:c r="A35" s="66" t="str">
        <x:f aca="false">IF('Trade Log'!T37="","",'Trade Log'!A37)</x:f>
        <x:v/>
      </x:c>
      <x:c r="B35" s="66" t="n">
        <x:f aca="false">IF('Trade Log'!S37="",N(B34),N(B34)+'Trade Log'!S37)</x:f>
        <x:v>875.52508</x:v>
      </x:c>
      <x:c r="C35" s="66" t="n">
        <x:f aca="false">Dashboard!$B$4+B35</x:f>
        <x:v>50875.52508</x:v>
      </x:c>
    </x:row>
    <x:row r="36" customFormat="false" ht="15" hidden="false" customHeight="false" outlineLevel="0" collapsed="false">
      <x:c r="A36" s="66" t="str">
        <x:f aca="false">IF('Trade Log'!T38="","",'Trade Log'!A38)</x:f>
        <x:v/>
      </x:c>
      <x:c r="B36" s="66" t="n">
        <x:f aca="false">IF('Trade Log'!S38="",N(B35),N(B35)+'Trade Log'!S38)</x:f>
        <x:v>875.52508</x:v>
      </x:c>
      <x:c r="C36" s="66" t="n">
        <x:f aca="false">Dashboard!$B$4+B36</x:f>
        <x:v>50875.52508</x:v>
      </x:c>
    </x:row>
    <x:row r="37" customFormat="false" ht="15" hidden="false" customHeight="false" outlineLevel="0" collapsed="false">
      <x:c r="A37" s="66" t="str">
        <x:f aca="false">IF('Trade Log'!T39="","",'Trade Log'!A39)</x:f>
        <x:v/>
      </x:c>
      <x:c r="B37" s="66" t="n">
        <x:f aca="false">IF('Trade Log'!S39="",N(B36),N(B36)+'Trade Log'!S39)</x:f>
        <x:v>875.52508</x:v>
      </x:c>
      <x:c r="C37" s="66" t="n">
        <x:f aca="false">Dashboard!$B$4+B37</x:f>
        <x:v>50875.52508</x:v>
      </x:c>
    </x:row>
    <x:row r="38" customFormat="false" ht="15" hidden="false" customHeight="false" outlineLevel="0" collapsed="false">
      <x:c r="A38" s="66" t="str">
        <x:f aca="false">IF('Trade Log'!T40="","",'Trade Log'!A40)</x:f>
        <x:v/>
      </x:c>
      <x:c r="B38" s="66" t="n">
        <x:f aca="false">IF('Trade Log'!S40="",N(B37),N(B37)+'Trade Log'!S40)</x:f>
        <x:v>875.52508</x:v>
      </x:c>
      <x:c r="C38" s="66" t="n">
        <x:f aca="false">Dashboard!$B$4+B38</x:f>
        <x:v>50875.52508</x:v>
      </x:c>
    </x:row>
    <x:row r="39" customFormat="false" ht="15" hidden="false" customHeight="false" outlineLevel="0" collapsed="false">
      <x:c r="A39" s="66" t="str">
        <x:f aca="false">IF('Trade Log'!T41="","",'Trade Log'!A41)</x:f>
        <x:v/>
      </x:c>
      <x:c r="B39" s="66" t="n">
        <x:f aca="false">IF('Trade Log'!S41="",N(B38),N(B38)+'Trade Log'!S41)</x:f>
        <x:v>875.52508</x:v>
      </x:c>
      <x:c r="C39" s="66" t="n">
        <x:f aca="false">Dashboard!$B$4+B39</x:f>
        <x:v>50875.52508</x:v>
      </x:c>
    </x:row>
    <x:row r="40" customFormat="false" ht="15" hidden="false" customHeight="false" outlineLevel="0" collapsed="false">
      <x:c r="A40" s="66" t="str">
        <x:f aca="false">IF('Trade Log'!T42="","",'Trade Log'!A42)</x:f>
        <x:v/>
      </x:c>
      <x:c r="B40" s="66" t="n">
        <x:f aca="false">IF('Trade Log'!S42="",N(B39),N(B39)+'Trade Log'!S42)</x:f>
        <x:v>875.52508</x:v>
      </x:c>
      <x:c r="C40" s="66" t="n">
        <x:f aca="false">Dashboard!$B$4+B40</x:f>
        <x:v>50875.52508</x:v>
      </x:c>
    </x:row>
    <x:row r="41" customFormat="false" ht="15" hidden="false" customHeight="false" outlineLevel="0" collapsed="false">
      <x:c r="A41" s="66" t="str">
        <x:f aca="false">IF('Trade Log'!T43="","",'Trade Log'!A43)</x:f>
        <x:v/>
      </x:c>
      <x:c r="B41" s="66" t="n">
        <x:f aca="false">IF('Trade Log'!S43="",N(B40),N(B40)+'Trade Log'!S43)</x:f>
        <x:v>875.52508</x:v>
      </x:c>
      <x:c r="C41" s="66" t="n">
        <x:f aca="false">Dashboard!$B$4+B41</x:f>
        <x:v>50875.52508</x:v>
      </x:c>
    </x:row>
    <x:row r="42" customFormat="false" ht="15" hidden="false" customHeight="false" outlineLevel="0" collapsed="false">
      <x:c r="A42" s="66" t="str">
        <x:f aca="false">IF('Trade Log'!T44="","",'Trade Log'!A44)</x:f>
        <x:v/>
      </x:c>
      <x:c r="B42" s="66" t="n">
        <x:f aca="false">IF('Trade Log'!S44="",N(B41),N(B41)+'Trade Log'!S44)</x:f>
        <x:v>875.52508</x:v>
      </x:c>
      <x:c r="C42" s="66" t="n">
        <x:f aca="false">Dashboard!$B$4+B42</x:f>
        <x:v>50875.52508</x:v>
      </x:c>
    </x:row>
    <x:row r="43" customFormat="false" ht="15" hidden="false" customHeight="false" outlineLevel="0" collapsed="false">
      <x:c r="A43" s="66" t="str">
        <x:f aca="false">IF('Trade Log'!T45="","",'Trade Log'!A45)</x:f>
        <x:v/>
      </x:c>
      <x:c r="B43" s="66" t="n">
        <x:f aca="false">IF('Trade Log'!S45="",N(B42),N(B42)+'Trade Log'!S45)</x:f>
        <x:v>875.52508</x:v>
      </x:c>
      <x:c r="C43" s="66" t="n">
        <x:f aca="false">Dashboard!$B$4+B43</x:f>
        <x:v>50875.52508</x:v>
      </x:c>
    </x:row>
    <x:row r="44" customFormat="false" ht="15" hidden="false" customHeight="false" outlineLevel="0" collapsed="false">
      <x:c r="A44" s="66" t="str">
        <x:f aca="false">IF('Trade Log'!T46="","",'Trade Log'!A46)</x:f>
        <x:v/>
      </x:c>
      <x:c r="B44" s="66" t="n">
        <x:f aca="false">IF('Trade Log'!S46="",N(B43),N(B43)+'Trade Log'!S46)</x:f>
        <x:v>875.52508</x:v>
      </x:c>
      <x:c r="C44" s="66" t="n">
        <x:f aca="false">Dashboard!$B$4+B44</x:f>
        <x:v>50875.52508</x:v>
      </x:c>
    </x:row>
    <x:row r="45" customFormat="false" ht="15" hidden="false" customHeight="false" outlineLevel="0" collapsed="false">
      <x:c r="A45" s="66" t="str">
        <x:f aca="false">IF('Trade Log'!T47="","",'Trade Log'!A47)</x:f>
        <x:v/>
      </x:c>
      <x:c r="B45" s="66" t="n">
        <x:f aca="false">IF('Trade Log'!S47="",N(B44),N(B44)+'Trade Log'!S47)</x:f>
        <x:v>875.52508</x:v>
      </x:c>
      <x:c r="C45" s="66" t="n">
        <x:f aca="false">Dashboard!$B$4+B45</x:f>
        <x:v>50875.52508</x:v>
      </x:c>
    </x:row>
    <x:row r="46" customFormat="false" ht="15" hidden="false" customHeight="false" outlineLevel="0" collapsed="false">
      <x:c r="A46" s="66" t="str">
        <x:f aca="false">IF('Trade Log'!T48="","",'Trade Log'!A48)</x:f>
        <x:v/>
      </x:c>
      <x:c r="B46" s="66" t="n">
        <x:f aca="false">IF('Trade Log'!S48="",N(B45),N(B45)+'Trade Log'!S48)</x:f>
        <x:v>875.52508</x:v>
      </x:c>
      <x:c r="C46" s="66" t="n">
        <x:f aca="false">Dashboard!$B$4+B46</x:f>
        <x:v>50875.52508</x:v>
      </x:c>
    </x:row>
    <x:row r="47" customFormat="false" ht="15" hidden="false" customHeight="false" outlineLevel="0" collapsed="false">
      <x:c r="A47" s="66" t="str">
        <x:f aca="false">IF('Trade Log'!T49="","",'Trade Log'!A49)</x:f>
        <x:v/>
      </x:c>
      <x:c r="B47" s="66" t="n">
        <x:f aca="false">IF('Trade Log'!S49="",N(B46),N(B46)+'Trade Log'!S49)</x:f>
        <x:v>875.52508</x:v>
      </x:c>
      <x:c r="C47" s="66" t="n">
        <x:f aca="false">Dashboard!$B$4+B47</x:f>
        <x:v>50875.52508</x:v>
      </x:c>
    </x:row>
    <x:row r="48" customFormat="false" ht="15" hidden="false" customHeight="false" outlineLevel="0" collapsed="false">
      <x:c r="A48" s="66" t="str">
        <x:f aca="false">IF('Trade Log'!T50="","",'Trade Log'!A50)</x:f>
        <x:v/>
      </x:c>
      <x:c r="B48" s="66" t="n">
        <x:f aca="false">IF('Trade Log'!S50="",N(B47),N(B47)+'Trade Log'!S50)</x:f>
        <x:v>875.52508</x:v>
      </x:c>
      <x:c r="C48" s="66" t="n">
        <x:f aca="false">Dashboard!$B$4+B48</x:f>
        <x:v>50875.52508</x:v>
      </x:c>
    </x:row>
    <x:row r="49" customFormat="false" ht="15" hidden="false" customHeight="false" outlineLevel="0" collapsed="false">
      <x:c r="A49" s="66" t="str">
        <x:f aca="false">IF('Trade Log'!T51="","",'Trade Log'!A51)</x:f>
        <x:v/>
      </x:c>
      <x:c r="B49" s="66" t="n">
        <x:f aca="false">IF('Trade Log'!S51="",N(B48),N(B48)+'Trade Log'!S51)</x:f>
        <x:v>875.52508</x:v>
      </x:c>
      <x:c r="C49" s="66" t="n">
        <x:f aca="false">Dashboard!$B$4+B49</x:f>
        <x:v>50875.52508</x:v>
      </x:c>
    </x:row>
    <x:row r="50" customFormat="false" ht="15" hidden="false" customHeight="false" outlineLevel="0" collapsed="false">
      <x:c r="A50" s="66" t="str">
        <x:f aca="false">IF('Trade Log'!T52="","",'Trade Log'!A52)</x:f>
        <x:v/>
      </x:c>
      <x:c r="B50" s="66" t="n">
        <x:f aca="false">IF('Trade Log'!S52="",N(B49),N(B49)+'Trade Log'!S52)</x:f>
        <x:v>875.52508</x:v>
      </x:c>
      <x:c r="C50" s="66" t="n">
        <x:f aca="false">Dashboard!$B$4+B50</x:f>
        <x:v>50875.52508</x:v>
      </x:c>
    </x:row>
    <x:row r="51" customFormat="false" ht="15" hidden="false" customHeight="false" outlineLevel="0" collapsed="false">
      <x:c r="A51" s="66" t="str">
        <x:f aca="false">IF('Trade Log'!T53="","",'Trade Log'!A53)</x:f>
        <x:v/>
      </x:c>
      <x:c r="B51" s="66" t="n">
        <x:f aca="false">IF('Trade Log'!S53="",N(B50),N(B50)+'Trade Log'!S53)</x:f>
        <x:v>875.52508</x:v>
      </x:c>
      <x:c r="C51" s="66" t="n">
        <x:f aca="false">Dashboard!$B$4+B51</x:f>
        <x:v>50875.52508</x:v>
      </x:c>
    </x:row>
    <x:row r="52" customFormat="false" ht="15" hidden="false" customHeight="false" outlineLevel="0" collapsed="false">
      <x:c r="A52" s="66" t="str">
        <x:f aca="false">IF('Trade Log'!T54="","",'Trade Log'!A54)</x:f>
        <x:v/>
      </x:c>
      <x:c r="B52" s="66" t="n">
        <x:f aca="false">IF('Trade Log'!S54="",N(B51),N(B51)+'Trade Log'!S54)</x:f>
        <x:v>875.52508</x:v>
      </x:c>
      <x:c r="C52" s="66" t="n">
        <x:f aca="false">Dashboard!$B$4+B52</x:f>
        <x:v>50875.52508</x:v>
      </x:c>
    </x:row>
    <x:row r="53" customFormat="false" ht="15" hidden="false" customHeight="false" outlineLevel="0" collapsed="false">
      <x:c r="A53" s="66" t="str">
        <x:f aca="false">IF('Trade Log'!T55="","",'Trade Log'!A55)</x:f>
        <x:v/>
      </x:c>
      <x:c r="B53" s="66" t="n">
        <x:f aca="false">IF('Trade Log'!S55="",N(B52),N(B52)+'Trade Log'!S55)</x:f>
        <x:v>875.52508</x:v>
      </x:c>
      <x:c r="C53" s="66" t="n">
        <x:f aca="false">Dashboard!$B$4+B53</x:f>
        <x:v>50875.52508</x:v>
      </x:c>
    </x:row>
    <x:row r="54" customFormat="false" ht="15" hidden="false" customHeight="false" outlineLevel="0" collapsed="false">
      <x:c r="A54" s="66" t="str">
        <x:f aca="false">IF('Trade Log'!T56="","",'Trade Log'!A56)</x:f>
        <x:v/>
      </x:c>
      <x:c r="B54" s="66" t="n">
        <x:f aca="false">IF('Trade Log'!S56="",N(B53),N(B53)+'Trade Log'!S56)</x:f>
        <x:v>875.52508</x:v>
      </x:c>
      <x:c r="C54" s="66" t="n">
        <x:f aca="false">Dashboard!$B$4+B54</x:f>
        <x:v>50875.52508</x:v>
      </x:c>
    </x:row>
    <x:row r="55" customFormat="false" ht="15" hidden="false" customHeight="false" outlineLevel="0" collapsed="false">
      <x:c r="A55" s="66" t="str">
        <x:f aca="false">IF('Trade Log'!T57="","",'Trade Log'!A57)</x:f>
        <x:v/>
      </x:c>
      <x:c r="B55" s="66" t="n">
        <x:f aca="false">IF('Trade Log'!S57="",N(B54),N(B54)+'Trade Log'!S57)</x:f>
        <x:v>875.52508</x:v>
      </x:c>
      <x:c r="C55" s="66" t="n">
        <x:f aca="false">Dashboard!$B$4+B55</x:f>
        <x:v>50875.52508</x:v>
      </x:c>
    </x:row>
    <x:row r="56" customFormat="false" ht="15" hidden="false" customHeight="false" outlineLevel="0" collapsed="false">
      <x:c r="A56" s="66" t="str">
        <x:f aca="false">IF('Trade Log'!T58="","",'Trade Log'!A58)</x:f>
        <x:v/>
      </x:c>
      <x:c r="B56" s="66" t="n">
        <x:f aca="false">IF('Trade Log'!S58="",N(B55),N(B55)+'Trade Log'!S58)</x:f>
        <x:v>875.52508</x:v>
      </x:c>
      <x:c r="C56" s="66" t="n">
        <x:f aca="false">Dashboard!$B$4+B56</x:f>
        <x:v>50875.52508</x:v>
      </x:c>
    </x:row>
    <x:row r="57" customFormat="false" ht="15" hidden="false" customHeight="false" outlineLevel="0" collapsed="false">
      <x:c r="A57" s="66" t="str">
        <x:f aca="false">IF('Trade Log'!T59="","",'Trade Log'!A59)</x:f>
        <x:v/>
      </x:c>
      <x:c r="B57" s="66" t="n">
        <x:f aca="false">IF('Trade Log'!S59="",N(B56),N(B56)+'Trade Log'!S59)</x:f>
        <x:v>875.52508</x:v>
      </x:c>
      <x:c r="C57" s="66" t="n">
        <x:f aca="false">Dashboard!$B$4+B57</x:f>
        <x:v>50875.52508</x:v>
      </x:c>
    </x:row>
    <x:row r="58" customFormat="false" ht="15" hidden="false" customHeight="false" outlineLevel="0" collapsed="false">
      <x:c r="A58" s="66" t="str">
        <x:f aca="false">IF('Trade Log'!T60="","",'Trade Log'!A60)</x:f>
        <x:v/>
      </x:c>
      <x:c r="B58" s="66" t="n">
        <x:f aca="false">IF('Trade Log'!S60="",N(B57),N(B57)+'Trade Log'!S60)</x:f>
        <x:v>875.52508</x:v>
      </x:c>
      <x:c r="C58" s="66" t="n">
        <x:f aca="false">Dashboard!$B$4+B58</x:f>
        <x:v>50875.52508</x:v>
      </x:c>
    </x:row>
    <x:row r="59" customFormat="false" ht="15" hidden="false" customHeight="false" outlineLevel="0" collapsed="false">
      <x:c r="A59" s="66" t="str">
        <x:f aca="false">IF('Trade Log'!T61="","",'Trade Log'!A61)</x:f>
        <x:v/>
      </x:c>
      <x:c r="B59" s="66" t="n">
        <x:f aca="false">IF('Trade Log'!S61="",N(B58),N(B58)+'Trade Log'!S61)</x:f>
        <x:v>875.52508</x:v>
      </x:c>
      <x:c r="C59" s="66" t="n">
        <x:f aca="false">Dashboard!$B$4+B59</x:f>
        <x:v>50875.52508</x:v>
      </x:c>
    </x:row>
    <x:row r="60" customFormat="false" ht="15" hidden="false" customHeight="false" outlineLevel="0" collapsed="false">
      <x:c r="A60" s="66" t="str">
        <x:f aca="false">IF('Trade Log'!T62="","",'Trade Log'!A62)</x:f>
        <x:v/>
      </x:c>
      <x:c r="B60" s="66" t="n">
        <x:f aca="false">IF('Trade Log'!S62="",N(B59),N(B59)+'Trade Log'!S62)</x:f>
        <x:v>875.52508</x:v>
      </x:c>
      <x:c r="C60" s="66" t="n">
        <x:f aca="false">Dashboard!$B$4+B60</x:f>
        <x:v>50875.52508</x:v>
      </x:c>
    </x:row>
    <x:row r="61" customFormat="false" ht="15" hidden="false" customHeight="false" outlineLevel="0" collapsed="false">
      <x:c r="A61" s="66" t="str">
        <x:f aca="false">IF('Trade Log'!T63="","",'Trade Log'!A63)</x:f>
        <x:v/>
      </x:c>
      <x:c r="B61" s="66" t="n">
        <x:f aca="false">IF('Trade Log'!S63="",N(B60),N(B60)+'Trade Log'!S63)</x:f>
        <x:v>875.52508</x:v>
      </x:c>
      <x:c r="C61" s="66" t="n">
        <x:f aca="false">Dashboard!$B$4+B61</x:f>
        <x:v>50875.52508</x:v>
      </x:c>
    </x:row>
    <x:row r="62" customFormat="false" ht="15" hidden="false" customHeight="false" outlineLevel="0" collapsed="false">
      <x:c r="A62" s="66" t="str">
        <x:f aca="false">IF('Trade Log'!T64="","",'Trade Log'!A64)</x:f>
        <x:v/>
      </x:c>
      <x:c r="B62" s="66" t="n">
        <x:f aca="false">IF('Trade Log'!S64="",N(B61),N(B61)+'Trade Log'!S64)</x:f>
        <x:v>875.52508</x:v>
      </x:c>
      <x:c r="C62" s="66" t="n">
        <x:f aca="false">Dashboard!$B$4+B62</x:f>
        <x:v>50875.52508</x:v>
      </x:c>
    </x:row>
    <x:row r="63" customFormat="false" ht="15" hidden="false" customHeight="false" outlineLevel="0" collapsed="false">
      <x:c r="A63" s="66" t="str">
        <x:f aca="false">IF('Trade Log'!T65="","",'Trade Log'!A65)</x:f>
        <x:v/>
      </x:c>
      <x:c r="B63" s="66" t="n">
        <x:f aca="false">IF('Trade Log'!S65="",N(B62),N(B62)+'Trade Log'!S65)</x:f>
        <x:v>875.52508</x:v>
      </x:c>
      <x:c r="C63" s="66" t="n">
        <x:f aca="false">Dashboard!$B$4+B63</x:f>
        <x:v>50875.52508</x:v>
      </x:c>
    </x:row>
    <x:row r="64" customFormat="false" ht="15" hidden="false" customHeight="false" outlineLevel="0" collapsed="false">
      <x:c r="A64" s="66" t="str">
        <x:f aca="false">IF('Trade Log'!T66="","",'Trade Log'!A66)</x:f>
        <x:v/>
      </x:c>
      <x:c r="B64" s="66" t="n">
        <x:f aca="false">IF('Trade Log'!S66="",N(B63),N(B63)+'Trade Log'!S66)</x:f>
        <x:v>875.52508</x:v>
      </x:c>
      <x:c r="C64" s="66" t="n">
        <x:f aca="false">Dashboard!$B$4+B64</x:f>
        <x:v>50875.52508</x:v>
      </x:c>
    </x:row>
    <x:row r="65" customFormat="false" ht="15" hidden="false" customHeight="false" outlineLevel="0" collapsed="false">
      <x:c r="A65" s="66" t="str">
        <x:f aca="false">IF('Trade Log'!T67="","",'Trade Log'!A67)</x:f>
        <x:v/>
      </x:c>
      <x:c r="B65" s="66" t="n">
        <x:f aca="false">IF('Trade Log'!S67="",N(B64),N(B64)+'Trade Log'!S67)</x:f>
        <x:v>875.52508</x:v>
      </x:c>
      <x:c r="C65" s="66" t="n">
        <x:f aca="false">Dashboard!$B$4+B65</x:f>
        <x:v>50875.52508</x:v>
      </x:c>
    </x:row>
    <x:row r="66" customFormat="false" ht="15" hidden="false" customHeight="false" outlineLevel="0" collapsed="false">
      <x:c r="A66" s="66" t="str">
        <x:f aca="false">IF('Trade Log'!T68="","",'Trade Log'!A68)</x:f>
        <x:v/>
      </x:c>
      <x:c r="B66" s="66" t="n">
        <x:f aca="false">IF('Trade Log'!S68="",N(B65),N(B65)+'Trade Log'!S68)</x:f>
        <x:v>875.52508</x:v>
      </x:c>
      <x:c r="C66" s="66" t="n">
        <x:f aca="false">Dashboard!$B$4+B66</x:f>
        <x:v>50875.52508</x:v>
      </x:c>
    </x:row>
    <x:row r="67" customFormat="false" ht="15" hidden="false" customHeight="false" outlineLevel="0" collapsed="false">
      <x:c r="A67" s="66" t="str">
        <x:f aca="false">IF('Trade Log'!T69="","",'Trade Log'!A69)</x:f>
        <x:v/>
      </x:c>
      <x:c r="B67" s="66" t="n">
        <x:f aca="false">IF('Trade Log'!S69="",N(B66),N(B66)+'Trade Log'!S69)</x:f>
        <x:v>875.52508</x:v>
      </x:c>
      <x:c r="C67" s="66" t="n">
        <x:f aca="false">Dashboard!$B$4+B67</x:f>
        <x:v>50875.52508</x:v>
      </x:c>
    </x:row>
    <x:row r="68" customFormat="false" ht="15" hidden="false" customHeight="false" outlineLevel="0" collapsed="false">
      <x:c r="A68" s="66" t="str">
        <x:f aca="false">IF('Trade Log'!T70="","",'Trade Log'!A70)</x:f>
        <x:v/>
      </x:c>
      <x:c r="B68" s="66" t="n">
        <x:f aca="false">IF('Trade Log'!S70="",N(B67),N(B67)+'Trade Log'!S70)</x:f>
        <x:v>875.52508</x:v>
      </x:c>
      <x:c r="C68" s="66" t="n">
        <x:f aca="false">Dashboard!$B$4+B68</x:f>
        <x:v>50875.52508</x:v>
      </x:c>
    </x:row>
    <x:row r="69" customFormat="false" ht="15" hidden="false" customHeight="false" outlineLevel="0" collapsed="false">
      <x:c r="A69" s="66" t="str">
        <x:f aca="false">IF('Trade Log'!T71="","",'Trade Log'!A71)</x:f>
        <x:v/>
      </x:c>
      <x:c r="B69" s="66" t="n">
        <x:f aca="false">IF('Trade Log'!S71="",N(B68),N(B68)+'Trade Log'!S71)</x:f>
        <x:v>875.52508</x:v>
      </x:c>
      <x:c r="C69" s="66" t="n">
        <x:f aca="false">Dashboard!$B$4+B69</x:f>
        <x:v>50875.52508</x:v>
      </x:c>
    </x:row>
    <x:row r="70" customFormat="false" ht="15" hidden="false" customHeight="false" outlineLevel="0" collapsed="false">
      <x:c r="A70" s="66" t="str">
        <x:f aca="false">IF('Trade Log'!T72="","",'Trade Log'!A72)</x:f>
        <x:v/>
      </x:c>
      <x:c r="B70" s="66" t="n">
        <x:f aca="false">IF('Trade Log'!S72="",N(B69),N(B69)+'Trade Log'!S72)</x:f>
        <x:v>875.52508</x:v>
      </x:c>
      <x:c r="C70" s="66" t="n">
        <x:f aca="false">Dashboard!$B$4+B70</x:f>
        <x:v>50875.52508</x:v>
      </x:c>
    </x:row>
    <x:row r="71" customFormat="false" ht="15" hidden="false" customHeight="false" outlineLevel="0" collapsed="false">
      <x:c r="A71" s="66" t="str">
        <x:f aca="false">IF('Trade Log'!T73="","",'Trade Log'!A73)</x:f>
        <x:v/>
      </x:c>
      <x:c r="B71" s="66" t="n">
        <x:f aca="false">IF('Trade Log'!S73="",N(B70),N(B70)+'Trade Log'!S73)</x:f>
        <x:v>875.52508</x:v>
      </x:c>
      <x:c r="C71" s="66" t="n">
        <x:f aca="false">Dashboard!$B$4+B71</x:f>
        <x:v>50875.52508</x:v>
      </x:c>
    </x:row>
    <x:row r="72" customFormat="false" ht="15" hidden="false" customHeight="false" outlineLevel="0" collapsed="false">
      <x:c r="A72" s="66" t="str">
        <x:f aca="false">IF('Trade Log'!T74="","",'Trade Log'!A74)</x:f>
        <x:v/>
      </x:c>
      <x:c r="B72" s="66" t="n">
        <x:f aca="false">IF('Trade Log'!S74="",N(B71),N(B71)+'Trade Log'!S74)</x:f>
        <x:v>875.52508</x:v>
      </x:c>
      <x:c r="C72" s="66" t="n">
        <x:f aca="false">Dashboard!$B$4+B72</x:f>
        <x:v>50875.52508</x:v>
      </x:c>
    </x:row>
    <x:row r="73" customFormat="false" ht="15" hidden="false" customHeight="false" outlineLevel="0" collapsed="false">
      <x:c r="A73" s="66" t="str">
        <x:f aca="false">IF('Trade Log'!T75="","",'Trade Log'!A75)</x:f>
        <x:v/>
      </x:c>
      <x:c r="B73" s="66" t="n">
        <x:f aca="false">IF('Trade Log'!S75="",N(B72),N(B72)+'Trade Log'!S75)</x:f>
        <x:v>875.52508</x:v>
      </x:c>
      <x:c r="C73" s="66" t="n">
        <x:f aca="false">Dashboard!$B$4+B73</x:f>
        <x:v>50875.52508</x:v>
      </x:c>
    </x:row>
    <x:row r="74" customFormat="false" ht="15" hidden="false" customHeight="false" outlineLevel="0" collapsed="false">
      <x:c r="A74" s="66" t="str">
        <x:f aca="false">IF('Trade Log'!T76="","",'Trade Log'!A76)</x:f>
        <x:v/>
      </x:c>
      <x:c r="B74" s="66" t="n">
        <x:f aca="false">IF('Trade Log'!S76="",N(B73),N(B73)+'Trade Log'!S76)</x:f>
        <x:v>875.52508</x:v>
      </x:c>
      <x:c r="C74" s="66" t="n">
        <x:f aca="false">Dashboard!$B$4+B74</x:f>
        <x:v>50875.52508</x:v>
      </x:c>
    </x:row>
    <x:row r="75" customFormat="false" ht="15" hidden="false" customHeight="false" outlineLevel="0" collapsed="false">
      <x:c r="A75" s="66" t="str">
        <x:f aca="false">IF('Trade Log'!T77="","",'Trade Log'!A77)</x:f>
        <x:v/>
      </x:c>
      <x:c r="B75" s="66" t="n">
        <x:f aca="false">IF('Trade Log'!S77="",N(B74),N(B74)+'Trade Log'!S77)</x:f>
        <x:v>875.52508</x:v>
      </x:c>
      <x:c r="C75" s="66" t="n">
        <x:f aca="false">Dashboard!$B$4+B75</x:f>
        <x:v>50875.52508</x:v>
      </x:c>
    </x:row>
    <x:row r="76" customFormat="false" ht="15" hidden="false" customHeight="false" outlineLevel="0" collapsed="false">
      <x:c r="A76" s="66" t="str">
        <x:f aca="false">IF('Trade Log'!T78="","",'Trade Log'!A78)</x:f>
        <x:v/>
      </x:c>
      <x:c r="B76" s="66" t="n">
        <x:f aca="false">IF('Trade Log'!S78="",N(B75),N(B75)+'Trade Log'!S78)</x:f>
        <x:v>875.52508</x:v>
      </x:c>
      <x:c r="C76" s="66" t="n">
        <x:f aca="false">Dashboard!$B$4+B76</x:f>
        <x:v>50875.52508</x:v>
      </x:c>
    </x:row>
    <x:row r="77" customFormat="false" ht="15" hidden="false" customHeight="false" outlineLevel="0" collapsed="false">
      <x:c r="A77" s="66" t="str">
        <x:f aca="false">IF('Trade Log'!T79="","",'Trade Log'!A79)</x:f>
        <x:v/>
      </x:c>
      <x:c r="B77" s="66" t="n">
        <x:f aca="false">IF('Trade Log'!S79="",N(B76),N(B76)+'Trade Log'!S79)</x:f>
        <x:v>875.52508</x:v>
      </x:c>
      <x:c r="C77" s="66" t="n">
        <x:f aca="false">Dashboard!$B$4+B77</x:f>
        <x:v>50875.52508</x:v>
      </x:c>
    </x:row>
    <x:row r="78" customFormat="false" ht="15" hidden="false" customHeight="false" outlineLevel="0" collapsed="false">
      <x:c r="A78" s="66" t="str">
        <x:f aca="false">IF('Trade Log'!T80="","",'Trade Log'!A80)</x:f>
        <x:v/>
      </x:c>
      <x:c r="B78" s="66" t="n">
        <x:f aca="false">IF('Trade Log'!S80="",N(B77),N(B77)+'Trade Log'!S80)</x:f>
        <x:v>875.52508</x:v>
      </x:c>
      <x:c r="C78" s="66" t="n">
        <x:f aca="false">Dashboard!$B$4+B78</x:f>
        <x:v>50875.52508</x:v>
      </x:c>
    </x:row>
    <x:row r="79" customFormat="false" ht="15" hidden="false" customHeight="false" outlineLevel="0" collapsed="false">
      <x:c r="A79" s="66" t="str">
        <x:f aca="false">IF('Trade Log'!T81="","",'Trade Log'!A81)</x:f>
        <x:v/>
      </x:c>
      <x:c r="B79" s="66" t="n">
        <x:f aca="false">IF('Trade Log'!S81="",N(B78),N(B78)+'Trade Log'!S81)</x:f>
        <x:v>875.52508</x:v>
      </x:c>
      <x:c r="C79" s="66" t="n">
        <x:f aca="false">Dashboard!$B$4+B79</x:f>
        <x:v>50875.52508</x:v>
      </x:c>
    </x:row>
    <x:row r="80" customFormat="false" ht="15" hidden="false" customHeight="false" outlineLevel="0" collapsed="false">
      <x:c r="A80" s="66" t="str">
        <x:f aca="false">IF('Trade Log'!T82="","",'Trade Log'!A82)</x:f>
        <x:v/>
      </x:c>
      <x:c r="B80" s="66" t="n">
        <x:f aca="false">IF('Trade Log'!S82="",N(B79),N(B79)+'Trade Log'!S82)</x:f>
        <x:v>875.52508</x:v>
      </x:c>
      <x:c r="C80" s="66" t="n">
        <x:f aca="false">Dashboard!$B$4+B80</x:f>
        <x:v>50875.52508</x:v>
      </x:c>
    </x:row>
    <x:row r="81" customFormat="false" ht="15" hidden="false" customHeight="false" outlineLevel="0" collapsed="false">
      <x:c r="A81" s="66" t="str">
        <x:f aca="false">IF('Trade Log'!T83="","",'Trade Log'!A83)</x:f>
        <x:v/>
      </x:c>
      <x:c r="B81" s="66" t="n">
        <x:f aca="false">IF('Trade Log'!S83="",N(B80),N(B80)+'Trade Log'!S83)</x:f>
        <x:v>875.52508</x:v>
      </x:c>
      <x:c r="C81" s="66" t="n">
        <x:f aca="false">Dashboard!$B$4+B81</x:f>
        <x:v>50875.52508</x:v>
      </x:c>
    </x:row>
    <x:row r="82" customFormat="false" ht="15" hidden="false" customHeight="false" outlineLevel="0" collapsed="false">
      <x:c r="A82" s="66" t="str">
        <x:f aca="false">IF('Trade Log'!T84="","",'Trade Log'!A84)</x:f>
        <x:v/>
      </x:c>
      <x:c r="B82" s="66" t="n">
        <x:f aca="false">IF('Trade Log'!S84="",N(B81),N(B81)+'Trade Log'!S84)</x:f>
        <x:v>875.52508</x:v>
      </x:c>
      <x:c r="C82" s="66" t="n">
        <x:f aca="false">Dashboard!$B$4+B82</x:f>
        <x:v>50875.52508</x:v>
      </x:c>
    </x:row>
    <x:row r="83" customFormat="false" ht="15" hidden="false" customHeight="false" outlineLevel="0" collapsed="false">
      <x:c r="A83" s="66" t="str">
        <x:f aca="false">IF('Trade Log'!T85="","",'Trade Log'!A85)</x:f>
        <x:v/>
      </x:c>
      <x:c r="B83" s="66" t="n">
        <x:f aca="false">IF('Trade Log'!S85="",N(B82),N(B82)+'Trade Log'!S85)</x:f>
        <x:v>875.52508</x:v>
      </x:c>
      <x:c r="C83" s="66" t="n">
        <x:f aca="false">Dashboard!$B$4+B83</x:f>
        <x:v>50875.52508</x:v>
      </x:c>
    </x:row>
    <x:row r="84" customFormat="false" ht="15" hidden="false" customHeight="false" outlineLevel="0" collapsed="false">
      <x:c r="A84" s="66" t="str">
        <x:f aca="false">IF('Trade Log'!T86="","",'Trade Log'!A86)</x:f>
        <x:v/>
      </x:c>
      <x:c r="B84" s="66" t="n">
        <x:f aca="false">IF('Trade Log'!S86="",N(B83),N(B83)+'Trade Log'!S86)</x:f>
        <x:v>875.52508</x:v>
      </x:c>
      <x:c r="C84" s="66" t="n">
        <x:f aca="false">Dashboard!$B$4+B84</x:f>
        <x:v>50875.52508</x:v>
      </x:c>
    </x:row>
    <x:row r="85" customFormat="false" ht="15" hidden="false" customHeight="false" outlineLevel="0" collapsed="false">
      <x:c r="A85" s="66" t="str">
        <x:f aca="false">IF('Trade Log'!T87="","",'Trade Log'!A87)</x:f>
        <x:v/>
      </x:c>
      <x:c r="B85" s="66" t="n">
        <x:f aca="false">IF('Trade Log'!S87="",N(B84),N(B84)+'Trade Log'!S87)</x:f>
        <x:v>875.52508</x:v>
      </x:c>
      <x:c r="C85" s="66" t="n">
        <x:f aca="false">Dashboard!$B$4+B85</x:f>
        <x:v>50875.52508</x:v>
      </x:c>
    </x:row>
    <x:row r="86" customFormat="false" ht="15" hidden="false" customHeight="false" outlineLevel="0" collapsed="false">
      <x:c r="A86" s="66" t="str">
        <x:f aca="false">IF('Trade Log'!T88="","",'Trade Log'!A88)</x:f>
        <x:v/>
      </x:c>
      <x:c r="B86" s="66" t="n">
        <x:f aca="false">IF('Trade Log'!S88="",N(B85),N(B85)+'Trade Log'!S88)</x:f>
        <x:v>875.52508</x:v>
      </x:c>
      <x:c r="C86" s="66" t="n">
        <x:f aca="false">Dashboard!$B$4+B86</x:f>
        <x:v>50875.52508</x:v>
      </x:c>
    </x:row>
    <x:row r="87" customFormat="false" ht="15" hidden="false" customHeight="false" outlineLevel="0" collapsed="false">
      <x:c r="A87" s="66" t="str">
        <x:f aca="false">IF('Trade Log'!T89="","",'Trade Log'!A89)</x:f>
        <x:v/>
      </x:c>
      <x:c r="B87" s="66" t="n">
        <x:f aca="false">IF('Trade Log'!S89="",N(B86),N(B86)+'Trade Log'!S89)</x:f>
        <x:v>875.52508</x:v>
      </x:c>
      <x:c r="C87" s="66" t="n">
        <x:f aca="false">Dashboard!$B$4+B87</x:f>
        <x:v>50875.52508</x:v>
      </x:c>
    </x:row>
    <x:row r="88" customFormat="false" ht="15" hidden="false" customHeight="false" outlineLevel="0" collapsed="false">
      <x:c r="A88" s="66" t="str">
        <x:f aca="false">IF('Trade Log'!T90="","",'Trade Log'!A90)</x:f>
        <x:v/>
      </x:c>
      <x:c r="B88" s="66" t="n">
        <x:f aca="false">IF('Trade Log'!S90="",N(B87),N(B87)+'Trade Log'!S90)</x:f>
        <x:v>875.52508</x:v>
      </x:c>
      <x:c r="C88" s="66" t="n">
        <x:f aca="false">Dashboard!$B$4+B88</x:f>
        <x:v>50875.52508</x:v>
      </x:c>
    </x:row>
    <x:row r="89" customFormat="false" ht="15" hidden="false" customHeight="false" outlineLevel="0" collapsed="false">
      <x:c r="A89" s="66" t="str">
        <x:f aca="false">IF('Trade Log'!T91="","",'Trade Log'!A91)</x:f>
        <x:v/>
      </x:c>
      <x:c r="B89" s="66" t="n">
        <x:f aca="false">IF('Trade Log'!S91="",N(B88),N(B88)+'Trade Log'!S91)</x:f>
        <x:v>875.52508</x:v>
      </x:c>
      <x:c r="C89" s="66" t="n">
        <x:f aca="false">Dashboard!$B$4+B89</x:f>
        <x:v>50875.52508</x:v>
      </x:c>
    </x:row>
    <x:row r="90" customFormat="false" ht="15" hidden="false" customHeight="false" outlineLevel="0" collapsed="false">
      <x:c r="A90" s="66" t="str">
        <x:f aca="false">IF('Trade Log'!T92="","",'Trade Log'!A92)</x:f>
        <x:v/>
      </x:c>
      <x:c r="B90" s="66" t="n">
        <x:f aca="false">IF('Trade Log'!S92="",N(B89),N(B89)+'Trade Log'!S92)</x:f>
        <x:v>875.52508</x:v>
      </x:c>
      <x:c r="C90" s="66" t="n">
        <x:f aca="false">Dashboard!$B$4+B90</x:f>
        <x:v>50875.52508</x:v>
      </x:c>
    </x:row>
    <x:row r="91" customFormat="false" ht="15" hidden="false" customHeight="false" outlineLevel="0" collapsed="false">
      <x:c r="A91" s="66" t="str">
        <x:f aca="false">IF('Trade Log'!T93="","",'Trade Log'!A93)</x:f>
        <x:v/>
      </x:c>
      <x:c r="B91" s="66" t="n">
        <x:f aca="false">IF('Trade Log'!S93="",N(B90),N(B90)+'Trade Log'!S93)</x:f>
        <x:v>875.52508</x:v>
      </x:c>
      <x:c r="C91" s="66" t="n">
        <x:f aca="false">Dashboard!$B$4+B91</x:f>
        <x:v>50875.52508</x:v>
      </x:c>
    </x:row>
    <x:row r="92" customFormat="false" ht="15" hidden="false" customHeight="false" outlineLevel="0" collapsed="false">
      <x:c r="A92" s="66" t="str">
        <x:f aca="false">IF('Trade Log'!T94="","",'Trade Log'!A94)</x:f>
        <x:v/>
      </x:c>
      <x:c r="B92" s="66" t="n">
        <x:f aca="false">IF('Trade Log'!S94="",N(B91),N(B91)+'Trade Log'!S94)</x:f>
        <x:v>875.52508</x:v>
      </x:c>
      <x:c r="C92" s="66" t="n">
        <x:f aca="false">Dashboard!$B$4+B92</x:f>
        <x:v>50875.52508</x:v>
      </x:c>
    </x:row>
    <x:row r="93" customFormat="false" ht="15" hidden="false" customHeight="false" outlineLevel="0" collapsed="false">
      <x:c r="A93" s="66" t="str">
        <x:f aca="false">IF('Trade Log'!T95="","",'Trade Log'!A95)</x:f>
        <x:v/>
      </x:c>
      <x:c r="B93" s="66" t="n">
        <x:f aca="false">IF('Trade Log'!S95="",N(B92),N(B92)+'Trade Log'!S95)</x:f>
        <x:v>875.52508</x:v>
      </x:c>
      <x:c r="C93" s="66" t="n">
        <x:f aca="false">Dashboard!$B$4+B93</x:f>
        <x:v>50875.52508</x:v>
      </x:c>
    </x:row>
    <x:row r="94" customFormat="false" ht="15" hidden="false" customHeight="false" outlineLevel="0" collapsed="false">
      <x:c r="A94" s="66" t="str">
        <x:f aca="false">IF('Trade Log'!T96="","",'Trade Log'!A96)</x:f>
        <x:v/>
      </x:c>
      <x:c r="B94" s="66" t="n">
        <x:f aca="false">IF('Trade Log'!S96="",N(B93),N(B93)+'Trade Log'!S96)</x:f>
        <x:v>875.52508</x:v>
      </x:c>
      <x:c r="C94" s="66" t="n">
        <x:f aca="false">Dashboard!$B$4+B94</x:f>
        <x:v>50875.52508</x:v>
      </x:c>
    </x:row>
    <x:row r="95" customFormat="false" ht="15" hidden="false" customHeight="false" outlineLevel="0" collapsed="false">
      <x:c r="A95" s="66" t="str">
        <x:f aca="false">IF('Trade Log'!T97="","",'Trade Log'!A97)</x:f>
        <x:v/>
      </x:c>
      <x:c r="B95" s="66" t="n">
        <x:f aca="false">IF('Trade Log'!S97="",N(B94),N(B94)+'Trade Log'!S97)</x:f>
        <x:v>875.52508</x:v>
      </x:c>
      <x:c r="C95" s="66" t="n">
        <x:f aca="false">Dashboard!$B$4+B95</x:f>
        <x:v>50875.52508</x:v>
      </x:c>
    </x:row>
    <x:row r="96" customFormat="false" ht="15" hidden="false" customHeight="false" outlineLevel="0" collapsed="false">
      <x:c r="A96" s="66" t="str">
        <x:f aca="false">IF('Trade Log'!T98="","",'Trade Log'!A98)</x:f>
        <x:v/>
      </x:c>
      <x:c r="B96" s="66" t="n">
        <x:f aca="false">IF('Trade Log'!S98="",N(B95),N(B95)+'Trade Log'!S98)</x:f>
        <x:v>875.52508</x:v>
      </x:c>
      <x:c r="C96" s="66" t="n">
        <x:f aca="false">Dashboard!$B$4+B96</x:f>
        <x:v>50875.52508</x:v>
      </x:c>
    </x:row>
    <x:row r="97" customFormat="false" ht="15" hidden="false" customHeight="false" outlineLevel="0" collapsed="false">
      <x:c r="A97" s="66" t="str">
        <x:f aca="false">IF('Trade Log'!T99="","",'Trade Log'!A99)</x:f>
        <x:v/>
      </x:c>
      <x:c r="B97" s="66" t="n">
        <x:f aca="false">IF('Trade Log'!S99="",N(B96),N(B96)+'Trade Log'!S99)</x:f>
        <x:v>875.52508</x:v>
      </x:c>
      <x:c r="C97" s="66" t="n">
        <x:f aca="false">Dashboard!$B$4+B97</x:f>
        <x:v>50875.52508</x:v>
      </x:c>
    </x:row>
    <x:row r="98" customFormat="false" ht="15" hidden="false" customHeight="false" outlineLevel="0" collapsed="false">
      <x:c r="A98" s="66" t="str">
        <x:f aca="false">IF('Trade Log'!T100="","",'Trade Log'!A100)</x:f>
        <x:v/>
      </x:c>
      <x:c r="B98" s="66" t="n">
        <x:f aca="false">IF('Trade Log'!S100="",N(B97),N(B97)+'Trade Log'!S100)</x:f>
        <x:v>875.52508</x:v>
      </x:c>
      <x:c r="C98" s="66" t="n">
        <x:f aca="false">Dashboard!$B$4+B98</x:f>
        <x:v>50875.52508</x:v>
      </x:c>
    </x:row>
    <x:row r="99" customFormat="false" ht="15" hidden="false" customHeight="false" outlineLevel="0" collapsed="false">
      <x:c r="A99" s="66" t="str">
        <x:f aca="false">IF('Trade Log'!T101="","",'Trade Log'!A101)</x:f>
        <x:v/>
      </x:c>
      <x:c r="B99" s="66" t="n">
        <x:f aca="false">IF('Trade Log'!S101="",N(B98),N(B98)+'Trade Log'!S101)</x:f>
        <x:v>875.52508</x:v>
      </x:c>
      <x:c r="C99" s="66" t="n">
        <x:f aca="false">Dashboard!$B$4+B99</x:f>
        <x:v>50875.52508</x:v>
      </x:c>
    </x:row>
    <x:row r="100" customFormat="false" ht="15" hidden="false" customHeight="false" outlineLevel="0" collapsed="false">
      <x:c r="A100" s="66" t="str">
        <x:f aca="false">IF('Trade Log'!T102="","",'Trade Log'!A102)</x:f>
        <x:v/>
      </x:c>
      <x:c r="B100" s="66" t="n">
        <x:f aca="false">IF('Trade Log'!S102="",N(B99),N(B99)+'Trade Log'!S102)</x:f>
        <x:v>875.52508</x:v>
      </x:c>
      <x:c r="C100" s="66" t="n">
        <x:f aca="false">Dashboard!$B$4+B100</x:f>
        <x:v>50875.52508</x:v>
      </x:c>
    </x:row>
    <x:row r="101" customFormat="false" ht="15" hidden="false" customHeight="false" outlineLevel="0" collapsed="false">
      <x:c r="A101" s="66" t="str">
        <x:f aca="false">IF('Trade Log'!T103="","",'Trade Log'!A103)</x:f>
        <x:v/>
      </x:c>
      <x:c r="B101" s="66" t="n">
        <x:f aca="false">IF('Trade Log'!S103="",N(B100),N(B100)+'Trade Log'!S103)</x:f>
        <x:v>875.52508</x:v>
      </x:c>
      <x:c r="C101" s="66" t="n">
        <x:f aca="false">Dashboard!$B$4+B101</x:f>
        <x:v>50875.52508</x:v>
      </x:c>
    </x:row>
    <x:row r="102" customFormat="false" ht="15" hidden="false" customHeight="false" outlineLevel="0" collapsed="false">
      <x:c r="A102" s="66" t="str">
        <x:f aca="false">IF('Trade Log'!T104="","",'Trade Log'!A104)</x:f>
        <x:v/>
      </x:c>
      <x:c r="B102" s="66" t="n">
        <x:f aca="false">IF('Trade Log'!S104="",N(B101),N(B101)+'Trade Log'!S104)</x:f>
        <x:v>875.52508</x:v>
      </x:c>
      <x:c r="C102" s="66" t="n">
        <x:f aca="false">Dashboard!$B$4+B102</x:f>
        <x:v>50875.52508</x:v>
      </x:c>
    </x:row>
    <x:row r="103" customFormat="false" ht="15" hidden="false" customHeight="false" outlineLevel="0" collapsed="false">
      <x:c r="A103" s="66" t="str">
        <x:f aca="false">IF('Trade Log'!T105="","",'Trade Log'!A105)</x:f>
        <x:v/>
      </x:c>
      <x:c r="B103" s="66" t="n">
        <x:f aca="false">IF('Trade Log'!S105="",N(B102),N(B102)+'Trade Log'!S105)</x:f>
        <x:v>875.52508</x:v>
      </x:c>
      <x:c r="C103" s="66" t="n">
        <x:f aca="false">Dashboard!$B$4+B103</x:f>
        <x:v>50875.52508</x:v>
      </x:c>
    </x:row>
    <x:row r="104" customFormat="false" ht="15" hidden="false" customHeight="false" outlineLevel="0" collapsed="false">
      <x:c r="A104" s="66" t="str">
        <x:f aca="false">IF('Trade Log'!T106="","",'Trade Log'!A106)</x:f>
        <x:v/>
      </x:c>
      <x:c r="B104" s="66" t="n">
        <x:f aca="false">IF('Trade Log'!S106="",N(B103),N(B103)+'Trade Log'!S106)</x:f>
        <x:v>875.52508</x:v>
      </x:c>
      <x:c r="C104" s="66" t="n">
        <x:f aca="false">Dashboard!$B$4+B104</x:f>
        <x:v>50875.52508</x:v>
      </x:c>
    </x:row>
    <x:row r="105" customFormat="false" ht="15" hidden="false" customHeight="false" outlineLevel="0" collapsed="false">
      <x:c r="A105" s="66" t="str">
        <x:f aca="false">IF('Trade Log'!T107="","",'Trade Log'!A107)</x:f>
        <x:v/>
      </x:c>
      <x:c r="B105" s="66" t="n">
        <x:f aca="false">IF('Trade Log'!S107="",N(B104),N(B104)+'Trade Log'!S107)</x:f>
        <x:v>875.52508</x:v>
      </x:c>
      <x:c r="C105" s="66" t="n">
        <x:f aca="false">Dashboard!$B$4+B105</x:f>
        <x:v>50875.52508</x:v>
      </x:c>
    </x:row>
    <x:row r="106" customFormat="false" ht="15" hidden="false" customHeight="false" outlineLevel="0" collapsed="false">
      <x:c r="A106" s="66" t="str">
        <x:f aca="false">IF('Trade Log'!T108="","",'Trade Log'!A108)</x:f>
        <x:v/>
      </x:c>
      <x:c r="B106" s="66" t="n">
        <x:f aca="false">IF('Trade Log'!S108="",N(B105),N(B105)+'Trade Log'!S108)</x:f>
        <x:v>875.52508</x:v>
      </x:c>
      <x:c r="C106" s="66" t="n">
        <x:f aca="false">Dashboard!$B$4+B106</x:f>
        <x:v>50875.52508</x:v>
      </x:c>
    </x:row>
    <x:row r="107" customFormat="false" ht="15" hidden="false" customHeight="false" outlineLevel="0" collapsed="false">
      <x:c r="A107" s="66" t="str">
        <x:f aca="false">IF('Trade Log'!T109="","",'Trade Log'!A109)</x:f>
        <x:v/>
      </x:c>
      <x:c r="B107" s="66" t="n">
        <x:f aca="false">IF('Trade Log'!S109="",N(B106),N(B106)+'Trade Log'!S109)</x:f>
        <x:v>875.52508</x:v>
      </x:c>
      <x:c r="C107" s="66" t="n">
        <x:f aca="false">Dashboard!$B$4+B107</x:f>
        <x:v>50875.52508</x:v>
      </x:c>
    </x:row>
    <x:row r="108" customFormat="false" ht="15" hidden="false" customHeight="false" outlineLevel="0" collapsed="false">
      <x:c r="A108" s="66" t="str">
        <x:f aca="false">IF('Trade Log'!T110="","",'Trade Log'!A110)</x:f>
        <x:v/>
      </x:c>
      <x:c r="B108" s="66" t="n">
        <x:f aca="false">IF('Trade Log'!S110="",N(B107),N(B107)+'Trade Log'!S110)</x:f>
        <x:v>875.52508</x:v>
      </x:c>
      <x:c r="C108" s="66" t="n">
        <x:f aca="false">Dashboard!$B$4+B108</x:f>
        <x:v>50875.52508</x:v>
      </x:c>
    </x:row>
    <x:row r="109" customFormat="false" ht="15" hidden="false" customHeight="false" outlineLevel="0" collapsed="false">
      <x:c r="A109" s="66" t="str">
        <x:f aca="false">IF('Trade Log'!T111="","",'Trade Log'!A111)</x:f>
        <x:v/>
      </x:c>
      <x:c r="B109" s="66" t="n">
        <x:f aca="false">IF('Trade Log'!S111="",N(B108),N(B108)+'Trade Log'!S111)</x:f>
        <x:v>875.52508</x:v>
      </x:c>
      <x:c r="C109" s="66" t="n">
        <x:f aca="false">Dashboard!$B$4+B109</x:f>
        <x:v>50875.52508</x:v>
      </x:c>
    </x:row>
    <x:row r="110" customFormat="false" ht="15" hidden="false" customHeight="false" outlineLevel="0" collapsed="false">
      <x:c r="A110" s="66" t="str">
        <x:f aca="false">IF('Trade Log'!T112="","",'Trade Log'!A112)</x:f>
        <x:v/>
      </x:c>
      <x:c r="B110" s="66" t="n">
        <x:f aca="false">IF('Trade Log'!S112="",N(B109),N(B109)+'Trade Log'!S112)</x:f>
        <x:v>875.52508</x:v>
      </x:c>
      <x:c r="C110" s="66" t="n">
        <x:f aca="false">Dashboard!$B$4+B110</x:f>
        <x:v>50875.52508</x:v>
      </x:c>
    </x:row>
    <x:row r="111" customFormat="false" ht="15" hidden="false" customHeight="false" outlineLevel="0" collapsed="false">
      <x:c r="A111" s="66" t="str">
        <x:f aca="false">IF('Trade Log'!T113="","",'Trade Log'!A113)</x:f>
        <x:v/>
      </x:c>
      <x:c r="B111" s="66" t="n">
        <x:f aca="false">IF('Trade Log'!S113="",N(B110),N(B110)+'Trade Log'!S113)</x:f>
        <x:v>875.52508</x:v>
      </x:c>
      <x:c r="C111" s="66" t="n">
        <x:f aca="false">Dashboard!$B$4+B111</x:f>
        <x:v>50875.52508</x:v>
      </x:c>
    </x:row>
    <x:row r="112" customFormat="false" ht="15" hidden="false" customHeight="false" outlineLevel="0" collapsed="false">
      <x:c r="A112" s="66" t="str">
        <x:f aca="false">IF('Trade Log'!T114="","",'Trade Log'!A114)</x:f>
        <x:v/>
      </x:c>
      <x:c r="B112" s="66" t="n">
        <x:f aca="false">IF('Trade Log'!S114="",N(B111),N(B111)+'Trade Log'!S114)</x:f>
        <x:v>875.52508</x:v>
      </x:c>
      <x:c r="C112" s="66" t="n">
        <x:f aca="false">Dashboard!$B$4+B112</x:f>
        <x:v>50875.52508</x:v>
      </x:c>
    </x:row>
    <x:row r="113" customFormat="false" ht="15" hidden="false" customHeight="false" outlineLevel="0" collapsed="false">
      <x:c r="A113" s="66" t="str">
        <x:f aca="false">IF('Trade Log'!T115="","",'Trade Log'!A115)</x:f>
        <x:v/>
      </x:c>
      <x:c r="B113" s="66" t="n">
        <x:f aca="false">IF('Trade Log'!S115="",N(B112),N(B112)+'Trade Log'!S115)</x:f>
        <x:v>875.52508</x:v>
      </x:c>
      <x:c r="C113" s="66" t="n">
        <x:f aca="false">Dashboard!$B$4+B113</x:f>
        <x:v>50875.52508</x:v>
      </x:c>
    </x:row>
    <x:row r="114" customFormat="false" ht="15" hidden="false" customHeight="false" outlineLevel="0" collapsed="false">
      <x:c r="A114" s="66" t="str">
        <x:f aca="false">IF('Trade Log'!T116="","",'Trade Log'!A116)</x:f>
        <x:v/>
      </x:c>
      <x:c r="B114" s="66" t="n">
        <x:f aca="false">IF('Trade Log'!S116="",N(B113),N(B113)+'Trade Log'!S116)</x:f>
        <x:v>875.52508</x:v>
      </x:c>
      <x:c r="C114" s="66" t="n">
        <x:f aca="false">Dashboard!$B$4+B114</x:f>
        <x:v>50875.52508</x:v>
      </x:c>
    </x:row>
    <x:row r="115" customFormat="false" ht="15" hidden="false" customHeight="false" outlineLevel="0" collapsed="false">
      <x:c r="A115" s="66" t="str">
        <x:f aca="false">IF('Trade Log'!T117="","",'Trade Log'!A117)</x:f>
        <x:v/>
      </x:c>
      <x:c r="B115" s="66" t="n">
        <x:f aca="false">IF('Trade Log'!S117="",N(B114),N(B114)+'Trade Log'!S117)</x:f>
        <x:v>875.52508</x:v>
      </x:c>
      <x:c r="C115" s="66" t="n">
        <x:f aca="false">Dashboard!$B$4+B115</x:f>
        <x:v>50875.52508</x:v>
      </x:c>
    </x:row>
    <x:row r="116" customFormat="false" ht="15" hidden="false" customHeight="false" outlineLevel="0" collapsed="false">
      <x:c r="A116" s="66" t="str">
        <x:f aca="false">IF('Trade Log'!T118="","",'Trade Log'!A118)</x:f>
        <x:v/>
      </x:c>
      <x:c r="B116" s="66" t="n">
        <x:f aca="false">IF('Trade Log'!S118="",N(B115),N(B115)+'Trade Log'!S118)</x:f>
        <x:v>875.52508</x:v>
      </x:c>
      <x:c r="C116" s="66" t="n">
        <x:f aca="false">Dashboard!$B$4+B116</x:f>
        <x:v>50875.52508</x:v>
      </x:c>
    </x:row>
    <x:row r="117" customFormat="false" ht="15" hidden="false" customHeight="false" outlineLevel="0" collapsed="false">
      <x:c r="A117" s="66" t="str">
        <x:f aca="false">IF('Trade Log'!T119="","",'Trade Log'!A119)</x:f>
        <x:v/>
      </x:c>
      <x:c r="B117" s="66" t="n">
        <x:f aca="false">IF('Trade Log'!S119="",N(B116),N(B116)+'Trade Log'!S119)</x:f>
        <x:v>875.52508</x:v>
      </x:c>
      <x:c r="C117" s="66" t="n">
        <x:f aca="false">Dashboard!$B$4+B117</x:f>
        <x:v>50875.52508</x:v>
      </x:c>
    </x:row>
    <x:row r="118" customFormat="false" ht="15" hidden="false" customHeight="false" outlineLevel="0" collapsed="false">
      <x:c r="A118" s="66" t="str">
        <x:f aca="false">IF('Trade Log'!T120="","",'Trade Log'!A120)</x:f>
        <x:v/>
      </x:c>
      <x:c r="B118" s="66" t="n">
        <x:f aca="false">IF('Trade Log'!S120="",N(B117),N(B117)+'Trade Log'!S120)</x:f>
        <x:v>875.52508</x:v>
      </x:c>
      <x:c r="C118" s="66" t="n">
        <x:f aca="false">Dashboard!$B$4+B118</x:f>
        <x:v>50875.52508</x:v>
      </x:c>
    </x:row>
    <x:row r="119" customFormat="false" ht="15" hidden="false" customHeight="false" outlineLevel="0" collapsed="false">
      <x:c r="A119" s="66" t="str">
        <x:f aca="false">IF('Trade Log'!T121="","",'Trade Log'!A121)</x:f>
        <x:v/>
      </x:c>
      <x:c r="B119" s="66" t="n">
        <x:f aca="false">IF('Trade Log'!S121="",N(B118),N(B118)+'Trade Log'!S121)</x:f>
        <x:v>875.52508</x:v>
      </x:c>
      <x:c r="C119" s="66" t="n">
        <x:f aca="false">Dashboard!$B$4+B119</x:f>
        <x:v>50875.52508</x:v>
      </x:c>
    </x:row>
    <x:row r="120" customFormat="false" ht="15" hidden="false" customHeight="false" outlineLevel="0" collapsed="false">
      <x:c r="A120" s="66" t="str">
        <x:f aca="false">IF('Trade Log'!T122="","",'Trade Log'!A122)</x:f>
        <x:v/>
      </x:c>
      <x:c r="B120" s="66" t="n">
        <x:f aca="false">IF('Trade Log'!S122="",N(B119),N(B119)+'Trade Log'!S122)</x:f>
        <x:v>875.52508</x:v>
      </x:c>
      <x:c r="C120" s="66" t="n">
        <x:f aca="false">Dashboard!$B$4+B120</x:f>
        <x:v>50875.52508</x:v>
      </x:c>
    </x:row>
    <x:row r="121" customFormat="false" ht="15" hidden="false" customHeight="false" outlineLevel="0" collapsed="false">
      <x:c r="A121" s="66" t="str">
        <x:f aca="false">IF('Trade Log'!T123="","",'Trade Log'!A123)</x:f>
        <x:v/>
      </x:c>
      <x:c r="B121" s="66" t="n">
        <x:f aca="false">IF('Trade Log'!S123="",N(B120),N(B120)+'Trade Log'!S123)</x:f>
        <x:v>875.52508</x:v>
      </x:c>
      <x:c r="C121" s="66" t="n">
        <x:f aca="false">Dashboard!$B$4+B121</x:f>
        <x:v>50875.52508</x:v>
      </x:c>
    </x:row>
    <x:row r="122" customFormat="false" ht="15" hidden="false" customHeight="false" outlineLevel="0" collapsed="false">
      <x:c r="A122" s="66" t="str">
        <x:f aca="false">IF('Trade Log'!T124="","",'Trade Log'!A124)</x:f>
        <x:v/>
      </x:c>
      <x:c r="B122" s="66" t="n">
        <x:f aca="false">IF('Trade Log'!S124="",N(B121),N(B121)+'Trade Log'!S124)</x:f>
        <x:v>875.52508</x:v>
      </x:c>
      <x:c r="C122" s="66" t="n">
        <x:f aca="false">Dashboard!$B$4+B122</x:f>
        <x:v>50875.52508</x:v>
      </x:c>
    </x:row>
    <x:row r="123" customFormat="false" ht="15" hidden="false" customHeight="false" outlineLevel="0" collapsed="false">
      <x:c r="A123" s="66" t="str">
        <x:f aca="false">IF('Trade Log'!T125="","",'Trade Log'!A125)</x:f>
        <x:v/>
      </x:c>
      <x:c r="B123" s="66" t="n">
        <x:f aca="false">IF('Trade Log'!S125="",N(B122),N(B122)+'Trade Log'!S125)</x:f>
        <x:v>875.52508</x:v>
      </x:c>
      <x:c r="C123" s="66" t="n">
        <x:f aca="false">Dashboard!$B$4+B123</x:f>
        <x:v>50875.52508</x:v>
      </x:c>
    </x:row>
    <x:row r="124" customFormat="false" ht="15" hidden="false" customHeight="false" outlineLevel="0" collapsed="false">
      <x:c r="A124" s="66" t="str">
        <x:f aca="false">IF('Trade Log'!T126="","",'Trade Log'!A126)</x:f>
        <x:v/>
      </x:c>
      <x:c r="B124" s="66" t="n">
        <x:f aca="false">IF('Trade Log'!S126="",N(B123),N(B123)+'Trade Log'!S126)</x:f>
        <x:v>875.52508</x:v>
      </x:c>
      <x:c r="C124" s="66" t="n">
        <x:f aca="false">Dashboard!$B$4+B124</x:f>
        <x:v>50875.52508</x:v>
      </x:c>
    </x:row>
    <x:row r="125" customFormat="false" ht="15" hidden="false" customHeight="false" outlineLevel="0" collapsed="false">
      <x:c r="A125" s="66" t="str">
        <x:f aca="false">IF('Trade Log'!T127="","",'Trade Log'!A127)</x:f>
        <x:v/>
      </x:c>
      <x:c r="B125" s="66" t="n">
        <x:f aca="false">IF('Trade Log'!S127="",N(B124),N(B124)+'Trade Log'!S127)</x:f>
        <x:v>875.52508</x:v>
      </x:c>
      <x:c r="C125" s="66" t="n">
        <x:f aca="false">Dashboard!$B$4+B125</x:f>
        <x:v>50875.52508</x:v>
      </x:c>
    </x:row>
    <x:row r="126" customFormat="false" ht="15" hidden="false" customHeight="false" outlineLevel="0" collapsed="false">
      <x:c r="A126" s="66" t="str">
        <x:f aca="false">IF('Trade Log'!T128="","",'Trade Log'!A128)</x:f>
        <x:v/>
      </x:c>
      <x:c r="B126" s="66" t="n">
        <x:f aca="false">IF('Trade Log'!S128="",N(B125),N(B125)+'Trade Log'!S128)</x:f>
        <x:v>875.52508</x:v>
      </x:c>
      <x:c r="C126" s="66" t="n">
        <x:f aca="false">Dashboard!$B$4+B126</x:f>
        <x:v>50875.52508</x:v>
      </x:c>
    </x:row>
    <x:row r="127" customFormat="false" ht="15" hidden="false" customHeight="false" outlineLevel="0" collapsed="false">
      <x:c r="A127" s="66" t="str">
        <x:f aca="false">IF('Trade Log'!T129="","",'Trade Log'!A129)</x:f>
        <x:v/>
      </x:c>
      <x:c r="B127" s="66" t="n">
        <x:f aca="false">IF('Trade Log'!S129="",N(B126),N(B126)+'Trade Log'!S129)</x:f>
        <x:v>875.52508</x:v>
      </x:c>
      <x:c r="C127" s="66" t="n">
        <x:f aca="false">Dashboard!$B$4+B127</x:f>
        <x:v>50875.52508</x:v>
      </x:c>
    </x:row>
    <x:row r="128" customFormat="false" ht="15" hidden="false" customHeight="false" outlineLevel="0" collapsed="false">
      <x:c r="A128" s="66" t="str">
        <x:f aca="false">IF('Trade Log'!T130="","",'Trade Log'!A130)</x:f>
        <x:v/>
      </x:c>
      <x:c r="B128" s="66" t="n">
        <x:f aca="false">IF('Trade Log'!S130="",N(B127),N(B127)+'Trade Log'!S130)</x:f>
        <x:v>875.52508</x:v>
      </x:c>
      <x:c r="C128" s="66" t="n">
        <x:f aca="false">Dashboard!$B$4+B128</x:f>
        <x:v>50875.52508</x:v>
      </x:c>
    </x:row>
    <x:row r="129" customFormat="false" ht="15" hidden="false" customHeight="false" outlineLevel="0" collapsed="false">
      <x:c r="A129" s="66" t="str">
        <x:f aca="false">IF('Trade Log'!T131="","",'Trade Log'!A131)</x:f>
        <x:v/>
      </x:c>
      <x:c r="B129" s="66" t="n">
        <x:f aca="false">IF('Trade Log'!S131="",N(B128),N(B128)+'Trade Log'!S131)</x:f>
        <x:v>875.52508</x:v>
      </x:c>
      <x:c r="C129" s="66" t="n">
        <x:f aca="false">Dashboard!$B$4+B129</x:f>
        <x:v>50875.52508</x:v>
      </x:c>
    </x:row>
    <x:row r="130" customFormat="false" ht="15" hidden="false" customHeight="false" outlineLevel="0" collapsed="false">
      <x:c r="A130" s="66" t="str">
        <x:f aca="false">IF('Trade Log'!T132="","",'Trade Log'!A132)</x:f>
        <x:v/>
      </x:c>
      <x:c r="B130" s="66" t="n">
        <x:f aca="false">IF('Trade Log'!S132="",N(B129),N(B129)+'Trade Log'!S132)</x:f>
        <x:v>875.52508</x:v>
      </x:c>
      <x:c r="C130" s="66" t="n">
        <x:f aca="false">Dashboard!$B$4+B130</x:f>
        <x:v>50875.52508</x:v>
      </x:c>
    </x:row>
    <x:row r="131" customFormat="false" ht="15" hidden="false" customHeight="false" outlineLevel="0" collapsed="false">
      <x:c r="A131" s="66" t="str">
        <x:f aca="false">IF('Trade Log'!T133="","",'Trade Log'!A133)</x:f>
        <x:v/>
      </x:c>
      <x:c r="B131" s="66" t="n">
        <x:f aca="false">IF('Trade Log'!S133="",N(B130),N(B130)+'Trade Log'!S133)</x:f>
        <x:v>875.52508</x:v>
      </x:c>
      <x:c r="C131" s="66" t="n">
        <x:f aca="false">Dashboard!$B$4+B131</x:f>
        <x:v>50875.52508</x:v>
      </x:c>
    </x:row>
    <x:row r="132" customFormat="false" ht="15" hidden="false" customHeight="false" outlineLevel="0" collapsed="false">
      <x:c r="A132" s="66" t="str">
        <x:f aca="false">IF('Trade Log'!T134="","",'Trade Log'!A134)</x:f>
        <x:v/>
      </x:c>
      <x:c r="B132" s="66" t="n">
        <x:f aca="false">IF('Trade Log'!S134="",N(B131),N(B131)+'Trade Log'!S134)</x:f>
        <x:v>875.52508</x:v>
      </x:c>
      <x:c r="C132" s="66" t="n">
        <x:f aca="false">Dashboard!$B$4+B132</x:f>
        <x:v>50875.52508</x:v>
      </x:c>
    </x:row>
    <x:row r="133" customFormat="false" ht="15" hidden="false" customHeight="false" outlineLevel="0" collapsed="false">
      <x:c r="A133" s="66" t="str">
        <x:f aca="false">IF('Trade Log'!T135="","",'Trade Log'!A135)</x:f>
        <x:v/>
      </x:c>
      <x:c r="B133" s="66" t="n">
        <x:f aca="false">IF('Trade Log'!S135="",N(B132),N(B132)+'Trade Log'!S135)</x:f>
        <x:v>875.52508</x:v>
      </x:c>
      <x:c r="C133" s="66" t="n">
        <x:f aca="false">Dashboard!$B$4+B133</x:f>
        <x:v>50875.52508</x:v>
      </x:c>
    </x:row>
    <x:row r="134" customFormat="false" ht="15" hidden="false" customHeight="false" outlineLevel="0" collapsed="false">
      <x:c r="A134" s="66" t="str">
        <x:f aca="false">IF('Trade Log'!T136="","",'Trade Log'!A136)</x:f>
        <x:v/>
      </x:c>
      <x:c r="B134" s="66" t="n">
        <x:f aca="false">IF('Trade Log'!S136="",N(B133),N(B133)+'Trade Log'!S136)</x:f>
        <x:v>875.52508</x:v>
      </x:c>
      <x:c r="C134" s="66" t="n">
        <x:f aca="false">Dashboard!$B$4+B134</x:f>
        <x:v>50875.52508</x:v>
      </x:c>
    </x:row>
    <x:row r="135" customFormat="false" ht="15" hidden="false" customHeight="false" outlineLevel="0" collapsed="false">
      <x:c r="A135" s="66" t="str">
        <x:f aca="false">IF('Trade Log'!T137="","",'Trade Log'!A137)</x:f>
        <x:v/>
      </x:c>
      <x:c r="B135" s="66" t="n">
        <x:f aca="false">IF('Trade Log'!S137="",N(B134),N(B134)+'Trade Log'!S137)</x:f>
        <x:v>875.52508</x:v>
      </x:c>
      <x:c r="C135" s="66" t="n">
        <x:f aca="false">Dashboard!$B$4+B135</x:f>
        <x:v>50875.52508</x:v>
      </x:c>
    </x:row>
    <x:row r="136" customFormat="false" ht="15" hidden="false" customHeight="false" outlineLevel="0" collapsed="false">
      <x:c r="A136" s="66" t="str">
        <x:f aca="false">IF('Trade Log'!T138="","",'Trade Log'!A138)</x:f>
        <x:v/>
      </x:c>
      <x:c r="B136" s="66" t="n">
        <x:f aca="false">IF('Trade Log'!S138="",N(B135),N(B135)+'Trade Log'!S138)</x:f>
        <x:v>875.52508</x:v>
      </x:c>
      <x:c r="C136" s="66" t="n">
        <x:f aca="false">Dashboard!$B$4+B136</x:f>
        <x:v>50875.52508</x:v>
      </x:c>
    </x:row>
    <x:row r="137" customFormat="false" ht="15" hidden="false" customHeight="false" outlineLevel="0" collapsed="false">
      <x:c r="A137" s="66" t="str">
        <x:f aca="false">IF('Trade Log'!T139="","",'Trade Log'!A139)</x:f>
        <x:v/>
      </x:c>
      <x:c r="B137" s="66" t="n">
        <x:f aca="false">IF('Trade Log'!S139="",N(B136),N(B136)+'Trade Log'!S139)</x:f>
        <x:v>875.52508</x:v>
      </x:c>
      <x:c r="C137" s="66" t="n">
        <x:f aca="false">Dashboard!$B$4+B137</x:f>
        <x:v>50875.52508</x:v>
      </x:c>
    </x:row>
    <x:row r="138" customFormat="false" ht="15" hidden="false" customHeight="false" outlineLevel="0" collapsed="false">
      <x:c r="A138" s="66" t="str">
        <x:f aca="false">IF('Trade Log'!T140="","",'Trade Log'!A140)</x:f>
        <x:v/>
      </x:c>
      <x:c r="B138" s="66" t="n">
        <x:f aca="false">IF('Trade Log'!S140="",N(B137),N(B137)+'Trade Log'!S140)</x:f>
        <x:v>875.52508</x:v>
      </x:c>
      <x:c r="C138" s="66" t="n">
        <x:f aca="false">Dashboard!$B$4+B138</x:f>
        <x:v>50875.52508</x:v>
      </x:c>
    </x:row>
    <x:row r="139" customFormat="false" ht="15" hidden="false" customHeight="false" outlineLevel="0" collapsed="false">
      <x:c r="A139" s="66" t="str">
        <x:f aca="false">IF('Trade Log'!T141="","",'Trade Log'!A141)</x:f>
        <x:v/>
      </x:c>
      <x:c r="B139" s="66" t="n">
        <x:f aca="false">IF('Trade Log'!S141="",N(B138),N(B138)+'Trade Log'!S141)</x:f>
        <x:v>875.52508</x:v>
      </x:c>
      <x:c r="C139" s="66" t="n">
        <x:f aca="false">Dashboard!$B$4+B139</x:f>
        <x:v>50875.52508</x:v>
      </x:c>
    </x:row>
    <x:row r="140" customFormat="false" ht="15" hidden="false" customHeight="false" outlineLevel="0" collapsed="false">
      <x:c r="A140" s="66" t="str">
        <x:f aca="false">IF('Trade Log'!T142="","",'Trade Log'!A142)</x:f>
        <x:v/>
      </x:c>
      <x:c r="B140" s="66" t="n">
        <x:f aca="false">IF('Trade Log'!S142="",N(B139),N(B139)+'Trade Log'!S142)</x:f>
        <x:v>875.52508</x:v>
      </x:c>
      <x:c r="C140" s="66" t="n">
        <x:f aca="false">Dashboard!$B$4+B140</x:f>
        <x:v>50875.52508</x:v>
      </x:c>
    </x:row>
    <x:row r="141" customFormat="false" ht="15" hidden="false" customHeight="false" outlineLevel="0" collapsed="false">
      <x:c r="A141" s="66" t="str">
        <x:f aca="false">IF('Trade Log'!T143="","",'Trade Log'!A143)</x:f>
        <x:v/>
      </x:c>
      <x:c r="B141" s="66" t="n">
        <x:f aca="false">IF('Trade Log'!S143="",N(B140),N(B140)+'Trade Log'!S143)</x:f>
        <x:v>875.52508</x:v>
      </x:c>
      <x:c r="C141" s="66" t="n">
        <x:f aca="false">Dashboard!$B$4+B141</x:f>
        <x:v>50875.52508</x:v>
      </x:c>
    </x:row>
    <x:row r="142" customFormat="false" ht="15" hidden="false" customHeight="false" outlineLevel="0" collapsed="false">
      <x:c r="A142" s="66" t="str">
        <x:f aca="false">IF('Trade Log'!T144="","",'Trade Log'!A144)</x:f>
        <x:v/>
      </x:c>
      <x:c r="B142" s="66" t="n">
        <x:f aca="false">IF('Trade Log'!S144="",N(B141),N(B141)+'Trade Log'!S144)</x:f>
        <x:v>875.52508</x:v>
      </x:c>
      <x:c r="C142" s="66" t="n">
        <x:f aca="false">Dashboard!$B$4+B142</x:f>
        <x:v>50875.52508</x:v>
      </x:c>
    </x:row>
    <x:row r="143" customFormat="false" ht="15" hidden="false" customHeight="false" outlineLevel="0" collapsed="false">
      <x:c r="A143" s="66" t="str">
        <x:f aca="false">IF('Trade Log'!T145="","",'Trade Log'!A145)</x:f>
        <x:v/>
      </x:c>
      <x:c r="B143" s="66" t="n">
        <x:f aca="false">IF('Trade Log'!S145="",N(B142),N(B142)+'Trade Log'!S145)</x:f>
        <x:v>875.52508</x:v>
      </x:c>
      <x:c r="C143" s="66" t="n">
        <x:f aca="false">Dashboard!$B$4+B143</x:f>
        <x:v>50875.52508</x:v>
      </x:c>
    </x:row>
    <x:row r="144" customFormat="false" ht="15" hidden="false" customHeight="false" outlineLevel="0" collapsed="false">
      <x:c r="A144" s="66" t="str">
        <x:f aca="false">IF('Trade Log'!T146="","",'Trade Log'!A146)</x:f>
        <x:v/>
      </x:c>
      <x:c r="B144" s="66" t="n">
        <x:f aca="false">IF('Trade Log'!S146="",N(B143),N(B143)+'Trade Log'!S146)</x:f>
        <x:v>875.52508</x:v>
      </x:c>
      <x:c r="C144" s="66" t="n">
        <x:f aca="false">Dashboard!$B$4+B144</x:f>
        <x:v>50875.52508</x:v>
      </x:c>
    </x:row>
    <x:row r="145" customFormat="false" ht="15" hidden="false" customHeight="false" outlineLevel="0" collapsed="false">
      <x:c r="A145" s="66" t="str">
        <x:f aca="false">IF('Trade Log'!T147="","",'Trade Log'!A147)</x:f>
        <x:v/>
      </x:c>
      <x:c r="B145" s="66" t="n">
        <x:f aca="false">IF('Trade Log'!S147="",N(B144),N(B144)+'Trade Log'!S147)</x:f>
        <x:v>875.52508</x:v>
      </x:c>
      <x:c r="C145" s="66" t="n">
        <x:f aca="false">Dashboard!$B$4+B145</x:f>
        <x:v>50875.52508</x:v>
      </x:c>
    </x:row>
    <x:row r="146" customFormat="false" ht="15" hidden="false" customHeight="false" outlineLevel="0" collapsed="false">
      <x:c r="A146" s="66" t="str">
        <x:f aca="false">IF('Trade Log'!T148="","",'Trade Log'!A148)</x:f>
        <x:v/>
      </x:c>
      <x:c r="B146" s="66" t="n">
        <x:f aca="false">IF('Trade Log'!S148="",N(B145),N(B145)+'Trade Log'!S148)</x:f>
        <x:v>875.52508</x:v>
      </x:c>
      <x:c r="C146" s="66" t="n">
        <x:f aca="false">Dashboard!$B$4+B146</x:f>
        <x:v>50875.52508</x:v>
      </x:c>
    </x:row>
    <x:row r="147" customFormat="false" ht="15" hidden="false" customHeight="false" outlineLevel="0" collapsed="false">
      <x:c r="A147" s="66" t="str">
        <x:f aca="false">IF('Trade Log'!T149="","",'Trade Log'!A149)</x:f>
        <x:v/>
      </x:c>
      <x:c r="B147" s="66" t="n">
        <x:f aca="false">IF('Trade Log'!S149="",N(B146),N(B146)+'Trade Log'!S149)</x:f>
        <x:v>875.52508</x:v>
      </x:c>
      <x:c r="C147" s="66" t="n">
        <x:f aca="false">Dashboard!$B$4+B147</x:f>
        <x:v>50875.52508</x:v>
      </x:c>
    </x:row>
    <x:row r="148" customFormat="false" ht="15" hidden="false" customHeight="false" outlineLevel="0" collapsed="false">
      <x:c r="A148" s="66" t="str">
        <x:f aca="false">IF('Trade Log'!T150="","",'Trade Log'!A150)</x:f>
        <x:v/>
      </x:c>
      <x:c r="B148" s="66" t="n">
        <x:f aca="false">IF('Trade Log'!S150="",N(B147),N(B147)+'Trade Log'!S150)</x:f>
        <x:v>875.52508</x:v>
      </x:c>
      <x:c r="C148" s="66" t="n">
        <x:f aca="false">Dashboard!$B$4+B148</x:f>
        <x:v>50875.52508</x:v>
      </x:c>
    </x:row>
    <x:row r="149" customFormat="false" ht="15" hidden="false" customHeight="false" outlineLevel="0" collapsed="false">
      <x:c r="A149" s="66" t="str">
        <x:f aca="false">IF('Trade Log'!T151="","",'Trade Log'!A151)</x:f>
        <x:v/>
      </x:c>
      <x:c r="B149" s="66" t="n">
        <x:f aca="false">IF('Trade Log'!S151="",N(B148),N(B148)+'Trade Log'!S151)</x:f>
        <x:v>875.52508</x:v>
      </x:c>
      <x:c r="C149" s="66" t="n">
        <x:f aca="false">Dashboard!$B$4+B149</x:f>
        <x:v>50875.52508</x:v>
      </x:c>
    </x:row>
    <x:row r="150" customFormat="false" ht="15" hidden="false" customHeight="false" outlineLevel="0" collapsed="false">
      <x:c r="A150" s="66" t="str">
        <x:f aca="false">IF('Trade Log'!T152="","",'Trade Log'!A152)</x:f>
        <x:v/>
      </x:c>
      <x:c r="B150" s="66" t="n">
        <x:f aca="false">IF('Trade Log'!S152="",N(B149),N(B149)+'Trade Log'!S152)</x:f>
        <x:v>875.52508</x:v>
      </x:c>
      <x:c r="C150" s="66" t="n">
        <x:f aca="false">Dashboard!$B$4+B150</x:f>
        <x:v>50875.52508</x:v>
      </x:c>
    </x:row>
    <x:row r="151" customFormat="false" ht="15" hidden="false" customHeight="false" outlineLevel="0" collapsed="false">
      <x:c r="A151" s="66" t="str">
        <x:f aca="false">IF('Trade Log'!T153="","",'Trade Log'!A153)</x:f>
        <x:v/>
      </x:c>
      <x:c r="B151" s="66" t="n">
        <x:f aca="false">IF('Trade Log'!S153="",N(B150),N(B150)+'Trade Log'!S153)</x:f>
        <x:v>875.52508</x:v>
      </x:c>
      <x:c r="C151" s="66" t="n">
        <x:f aca="false">Dashboard!$B$4+B151</x:f>
        <x:v>50875.52508</x:v>
      </x:c>
    </x:row>
  </x:sheetData>
  <x:printOptions horizontalCentered="false" verticalCentered="false" headings="false" gridLines="false" gridLinesSet="tru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OddEven="false" differentFirst="false">
    <x:oddHeader/>
    <x:oddFooter/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2026-09-22T04:00:00.0000000Z</dcterms:created>
  <lastPrinted>2026-09-22T04:00:00.0000000Z</lastPrinted>
  <dcterms:modified xsi:type="dcterms:W3CDTF">2026-09-22T04:00:00.0000000Z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